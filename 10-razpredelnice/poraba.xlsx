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0861089a84a8306/Dokumenti/FMF/racunalniski-praktikum/10-razpredelnice/"/>
    </mc:Choice>
  </mc:AlternateContent>
  <xr:revisionPtr revIDLastSave="146" documentId="13_ncr:1_{DB024210-1BD4-674C-B304-48B62DBB35CD}" xr6:coauthVersionLast="47" xr6:coauthVersionMax="47" xr10:uidLastSave="{097D5220-6B78-48D6-B88F-39142D1652B5}"/>
  <bookViews>
    <workbookView xWindow="-108" yWindow="-108" windowWidth="23256" windowHeight="12456" activeTab="1" xr2:uid="{00000000-000D-0000-FFFF-FFFF00000000}"/>
  </bookViews>
  <sheets>
    <sheet name="Sheet1" sheetId="5" r:id="rId1"/>
    <sheet name="Poraba" sheetId="4" r:id="rId2"/>
  </sheets>
  <definedNames>
    <definedName name="ExternalData_1" localSheetId="1" hidden="1">Poraba!$B$2:$G$21</definedName>
  </definedNames>
  <calcPr calcId="191029"/>
  <pivotCaches>
    <pivotCache cacheId="5" r:id="rId3"/>
    <pivotCache cacheId="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G4" i="4"/>
  <c r="G5" i="4"/>
  <c r="G19" i="4"/>
  <c r="G20" i="4"/>
  <c r="G21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3" i="4"/>
  <c r="F6" i="4"/>
  <c r="G6" i="4" s="1"/>
  <c r="F7" i="4"/>
  <c r="G7" i="4" s="1"/>
  <c r="F8" i="4"/>
  <c r="G8" i="4" s="1"/>
  <c r="F9" i="4"/>
  <c r="G9" i="4" s="1"/>
  <c r="F10" i="4"/>
  <c r="G10" i="4" s="1"/>
  <c r="F11" i="4"/>
  <c r="G11" i="4" s="1"/>
  <c r="F12" i="4"/>
  <c r="G12" i="4" s="1"/>
  <c r="F13" i="4"/>
  <c r="G13" i="4" s="1"/>
  <c r="F14" i="4"/>
  <c r="G14" i="4" s="1"/>
  <c r="F15" i="4"/>
  <c r="G15" i="4" s="1"/>
  <c r="F16" i="4"/>
  <c r="G16" i="4" s="1"/>
  <c r="F17" i="4"/>
  <c r="G17" i="4" s="1"/>
  <c r="F18" i="4"/>
  <c r="G18" i="4" s="1"/>
  <c r="F19" i="4"/>
  <c r="F20" i="4"/>
  <c r="F21" i="4"/>
  <c r="F5" i="4"/>
  <c r="F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D6C95C-D253-FC48-901C-EE7A0BEA25FD}" keepAlive="1" name="Query - realna-poraba-cupra" description="Connection to the 'realna-poraba-cupra' query in the workbook." type="5" refreshedVersion="8" background="1" saveData="1">
    <dbPr connection="Provider=Microsoft.Mashup.OleDb.1;Data Source=$Workbook$;Location=realna-poraba-cupra;Extended Properties=&quot;&quot;" command="SELECT * FROM [realna-poraba-cupra]"/>
  </connection>
  <connection id="2" xr16:uid="{823E546F-882E-9449-8E47-002173931B18}" keepAlive="1" name="Query - realna-poraba-cupra (2)" description="Connection to the 'realna-poraba-cupra (2)' query in the workbook." type="5" refreshedVersion="8" background="1" saveData="1">
    <dbPr connection="Provider=Microsoft.Mashup.OleDb.1;Data Source=$Workbook$;Location=&quot;realna-poraba-cupra (2)&quot;;Extended Properties=&quot;&quot;" command="SELECT * FROM [realna-poraba-cupra (2)]"/>
  </connection>
</connections>
</file>

<file path=xl/sharedStrings.xml><?xml version="1.0" encoding="utf-8"?>
<sst xmlns="http://schemas.openxmlformats.org/spreadsheetml/2006/main" count="45" uniqueCount="31">
  <si>
    <t>Bencin</t>
  </si>
  <si>
    <t>Veljavnost</t>
  </si>
  <si>
    <t>Datum</t>
  </si>
  <si>
    <t>Litri</t>
  </si>
  <si>
    <t/>
  </si>
  <si>
    <t>Števec</t>
  </si>
  <si>
    <t>Poraba</t>
  </si>
  <si>
    <t>Prevoženo</t>
  </si>
  <si>
    <t>Plačano</t>
  </si>
  <si>
    <t>Prikaz</t>
  </si>
  <si>
    <t>Column Labels</t>
  </si>
  <si>
    <t>Grand Total</t>
  </si>
  <si>
    <t>maj</t>
  </si>
  <si>
    <t>jun</t>
  </si>
  <si>
    <t>jul</t>
  </si>
  <si>
    <t>avg</t>
  </si>
  <si>
    <t>sep</t>
  </si>
  <si>
    <t>okt</t>
  </si>
  <si>
    <t>Sum of Prevoženo</t>
  </si>
  <si>
    <t>Average of Poraba</t>
  </si>
  <si>
    <t>Row Labels</t>
  </si>
  <si>
    <t>Values</t>
  </si>
  <si>
    <t>jan</t>
  </si>
  <si>
    <t>feb</t>
  </si>
  <si>
    <t>mar</t>
  </si>
  <si>
    <t>apr</t>
  </si>
  <si>
    <t>nov</t>
  </si>
  <si>
    <t>Average of Bencin</t>
  </si>
  <si>
    <t>MESEC</t>
  </si>
  <si>
    <t>SENA BENCINA</t>
  </si>
  <si>
    <t>PORABA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</si>
</sst>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\ &quot;€/l&quot;"/>
    <numFmt numFmtId="169" formatCode="#,##0.00\ &quot;€&quot;"/>
    <numFmt numFmtId="174" formatCode="0.0"/>
    <numFmt numFmtId="175" formatCode=";;;"/>
  </numFmts>
  <fonts count="4" x14ac:knownFonts="1">
    <font>
      <sz val="11"/>
      <color theme="1"/>
      <name val="Calibri"/>
      <family val="2"/>
      <charset val="238"/>
      <scheme val="minor"/>
    </font>
    <font>
      <sz val="9.9"/>
      <color rgb="FF616161"/>
      <name val="Arial"/>
      <family val="2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3" fontId="1" fillId="0" borderId="0" xfId="0" applyNumberFormat="1" applyFont="1"/>
    <xf numFmtId="16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74" fontId="0" fillId="0" borderId="0" xfId="0" applyNumberFormat="1"/>
    <xf numFmtId="164" fontId="2" fillId="0" borderId="1" xfId="0" applyNumberFormat="1" applyFont="1" applyBorder="1"/>
    <xf numFmtId="175" fontId="0" fillId="0" borderId="0" xfId="0" applyNumberFormat="1"/>
  </cellXfs>
  <cellStyles count="1">
    <cellStyle name="Normal" xfId="0" builtinId="0"/>
  </cellStyles>
  <dxfs count="13">
    <dxf>
      <numFmt numFmtId="175" formatCode=";;;"/>
      <fill>
        <patternFill patternType="none">
          <fgColor indexed="64"/>
          <bgColor auto="1"/>
        </patternFill>
      </fill>
    </dxf>
    <dxf>
      <numFmt numFmtId="174" formatCode="0.0"/>
    </dxf>
    <dxf>
      <numFmt numFmtId="169" formatCode="#,##0.00\ &quot;€&quot;"/>
    </dxf>
    <dxf>
      <numFmt numFmtId="0" formatCode="General"/>
    </dxf>
    <dxf>
      <numFmt numFmtId="2" formatCode="0.00"/>
    </dxf>
    <dxf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4" formatCode="0.000\ &quot;€/l&quot;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9BBB59"/>
        </left>
        <right/>
        <top style="thin">
          <color rgb="FF9BBB59"/>
        </top>
        <bottom style="thin">
          <color rgb="FF9BBB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5" formatCode="d/mm/yy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9BBB59"/>
        </top>
        <bottom style="thin">
          <color rgb="FF9BBB59"/>
        </bottom>
      </border>
    </dxf>
    <dxf>
      <border outline="0">
        <top style="thin">
          <color rgb="FF9BBB59"/>
        </top>
      </border>
    </dxf>
    <dxf>
      <border outline="0"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border outline="0">
        <bottom style="medium">
          <color rgb="FF9BBB59"/>
        </bottom>
      </border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Poraba!$Q$12</c:f>
              <c:strCache>
                <c:ptCount val="1"/>
                <c:pt idx="0">
                  <c:v>SENA BENCINA</c:v>
                </c:pt>
              </c:strCache>
            </c:strRef>
          </c:tx>
          <c:spPr>
            <a:ln w="31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poly"/>
            <c:order val="5"/>
            <c:dispRSqr val="0"/>
            <c:dispEq val="0"/>
          </c:trendline>
          <c:cat>
            <c:strRef>
              <c:f>Poraba!$P$13:$P$19</c:f>
              <c:strCache>
                <c:ptCount val="7"/>
                <c:pt idx="0">
                  <c:v>maj</c:v>
                </c:pt>
                <c:pt idx="1">
                  <c:v>jun</c:v>
                </c:pt>
                <c:pt idx="2">
                  <c:v>jul</c:v>
                </c:pt>
                <c:pt idx="3">
                  <c:v>avg</c:v>
                </c:pt>
                <c:pt idx="4">
                  <c:v>sep</c:v>
                </c:pt>
                <c:pt idx="5">
                  <c:v>okt</c:v>
                </c:pt>
                <c:pt idx="6">
                  <c:v>nov</c:v>
                </c:pt>
              </c:strCache>
            </c:strRef>
          </c:cat>
          <c:val>
            <c:numRef>
              <c:f>Poraba!$Q$13:$Q$19</c:f>
              <c:numCache>
                <c:formatCode>0.000\ "€/l"</c:formatCode>
                <c:ptCount val="7"/>
                <c:pt idx="0">
                  <c:v>1.3859999999999999</c:v>
                </c:pt>
                <c:pt idx="1">
                  <c:v>1.4179999999999999</c:v>
                </c:pt>
                <c:pt idx="2">
                  <c:v>1.45</c:v>
                </c:pt>
                <c:pt idx="3">
                  <c:v>1.522</c:v>
                </c:pt>
                <c:pt idx="4">
                  <c:v>1.5695000000000001</c:v>
                </c:pt>
                <c:pt idx="5">
                  <c:v>1.536</c:v>
                </c:pt>
                <c:pt idx="6">
                  <c:v>1.534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12-4147-99A2-677695718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3083856"/>
        <c:axId val="1963100656"/>
      </c:lineChart>
      <c:lineChart>
        <c:grouping val="standard"/>
        <c:varyColors val="0"/>
        <c:ser>
          <c:idx val="1"/>
          <c:order val="1"/>
          <c:tx>
            <c:strRef>
              <c:f>Poraba!$R$12</c:f>
              <c:strCache>
                <c:ptCount val="1"/>
                <c:pt idx="0">
                  <c:v>PORABA</c:v>
                </c:pt>
              </c:strCache>
            </c:strRef>
          </c:tx>
          <c:spPr>
            <a:ln w="1270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poly"/>
            <c:order val="4"/>
            <c:dispRSqr val="0"/>
            <c:dispEq val="0"/>
          </c:trendline>
          <c:cat>
            <c:strRef>
              <c:f>Poraba!$P$13:$P$19</c:f>
              <c:strCache>
                <c:ptCount val="7"/>
                <c:pt idx="0">
                  <c:v>maj</c:v>
                </c:pt>
                <c:pt idx="1">
                  <c:v>jun</c:v>
                </c:pt>
                <c:pt idx="2">
                  <c:v>jul</c:v>
                </c:pt>
                <c:pt idx="3">
                  <c:v>avg</c:v>
                </c:pt>
                <c:pt idx="4">
                  <c:v>sep</c:v>
                </c:pt>
                <c:pt idx="5">
                  <c:v>okt</c:v>
                </c:pt>
                <c:pt idx="6">
                  <c:v>nov</c:v>
                </c:pt>
              </c:strCache>
            </c:strRef>
          </c:cat>
          <c:val>
            <c:numRef>
              <c:f>Poraba!$R$13:$R$19</c:f>
              <c:numCache>
                <c:formatCode>0.0</c:formatCode>
                <c:ptCount val="7"/>
                <c:pt idx="0">
                  <c:v>6.643286586493633</c:v>
                </c:pt>
                <c:pt idx="1">
                  <c:v>6.7096452146904353</c:v>
                </c:pt>
                <c:pt idx="2">
                  <c:v>6.9488756233742244</c:v>
                </c:pt>
                <c:pt idx="3">
                  <c:v>6.909147776539081</c:v>
                </c:pt>
                <c:pt idx="4">
                  <c:v>7.5451560100243888</c:v>
                </c:pt>
                <c:pt idx="5">
                  <c:v>6.8048158511080841</c:v>
                </c:pt>
                <c:pt idx="6">
                  <c:v>6.9701582884689435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12-4147-99A2-677695718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3107376"/>
        <c:axId val="1963109296"/>
      </c:lineChart>
      <c:catAx>
        <c:axId val="196308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963100656"/>
        <c:crosses val="autoZero"/>
        <c:auto val="1"/>
        <c:lblAlgn val="ctr"/>
        <c:lblOffset val="100"/>
        <c:noMultiLvlLbl val="0"/>
      </c:catAx>
      <c:valAx>
        <c:axId val="196310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\ &quot;€/l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963083856"/>
        <c:crosses val="autoZero"/>
        <c:crossBetween val="between"/>
      </c:valAx>
      <c:valAx>
        <c:axId val="1963109296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963107376"/>
        <c:crosses val="max"/>
        <c:crossBetween val="between"/>
      </c:valAx>
      <c:catAx>
        <c:axId val="19631073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6310929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181282</xdr:colOff>
      <xdr:row>19</xdr:row>
      <xdr:rowOff>155472</xdr:rowOff>
    </xdr:from>
    <xdr:to>
      <xdr:col>19</xdr:col>
      <xdr:colOff>586862</xdr:colOff>
      <xdr:row>34</xdr:row>
      <xdr:rowOff>133349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AE1C54-DD4F-B6A1-F14E-98B2E268C9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až Matoš" refreshedDate="45996.920978703703" createdVersion="8" refreshedVersion="8" minRefreshableVersion="3" recordCount="19" xr:uid="{5409B742-2EFB-459A-ACA2-199051DB5160}">
  <cacheSource type="worksheet">
    <worksheetSource name="poraba"/>
  </cacheSource>
  <cacheFields count="9">
    <cacheField name="Datum" numFmtId="14">
      <sharedItems containsSemiMixedTypes="0" containsNonDate="0" containsDate="1" containsString="0" minDate="2023-05-05T00:00:00" maxDate="2023-10-15T00:00:00" count="19">
        <d v="2023-05-05T00:00:00"/>
        <d v="2023-05-13T00:00:00"/>
        <d v="2023-05-22T00:00:00"/>
        <d v="2023-05-27T00:00:00"/>
        <d v="2023-06-08T00:00:00"/>
        <d v="2023-06-16T00:00:00"/>
        <d v="2023-06-22T00:00:00"/>
        <d v="2023-07-06T00:00:00"/>
        <d v="2023-07-15T00:00:00"/>
        <d v="2023-07-22T00:00:00"/>
        <d v="2023-07-31T00:00:00"/>
        <d v="2023-08-13T00:00:00"/>
        <d v="2023-08-25T00:00:00"/>
        <d v="2023-09-06T00:00:00"/>
        <d v="2023-09-15T00:00:00"/>
        <d v="2023-09-22T00:00:00"/>
        <d v="2023-09-29T00:00:00"/>
        <d v="2023-10-06T00:00:00"/>
        <d v="2023-10-14T00:00:00"/>
      </sharedItems>
      <fieldGroup par="8"/>
    </cacheField>
    <cacheField name="Litri" numFmtId="2">
      <sharedItems containsSemiMixedTypes="0" containsString="0" containsNumber="1" minValue="34.04" maxValue="43.1"/>
    </cacheField>
    <cacheField name="Plačano" numFmtId="169">
      <sharedItems containsSemiMixedTypes="0" containsString="0" containsNumber="1" minValue="47.043279999999996" maxValue="64.097279999999998"/>
    </cacheField>
    <cacheField name="Števec" numFmtId="3">
      <sharedItems containsSemiMixedTypes="0" containsString="0" containsNumber="1" containsInteger="1" minValue="41907" maxValue="52176"/>
    </cacheField>
    <cacheField name="Prevoženo" numFmtId="0">
      <sharedItems containsMixedTypes="1" containsNumber="1" containsInteger="1" minValue="446" maxValue="683" count="19">
        <s v=""/>
        <n v="614"/>
        <n v="660"/>
        <n v="515"/>
        <n v="618"/>
        <n v="683"/>
        <n v="549"/>
        <n v="580"/>
        <n v="561"/>
        <n v="563"/>
        <n v="617"/>
        <n v="540"/>
        <n v="598"/>
        <n v="475"/>
        <n v="532"/>
        <n v="446"/>
        <n v="533"/>
        <n v="602"/>
        <n v="583"/>
      </sharedItems>
    </cacheField>
    <cacheField name="Poraba" numFmtId="0">
      <sharedItems containsString="0" containsBlank="1" containsNumber="1" minValue="6.3103953147877023" maxValue="8.1008968609865484" count="19">
        <m/>
        <n v="7.006514657980456"/>
        <n v="6.3136363636363644"/>
        <n v="6.6097087378640769"/>
        <n v="6.8640776699029127"/>
        <n v="6.3103953147877023"/>
        <n v="6.9544626593806917"/>
        <n v="7.0103448275862066"/>
        <n v="6.9821746880570412"/>
        <n v="7.1563055062166967"/>
        <n v="6.6466774716369521"/>
        <n v="6.8851851851851844"/>
        <n v="6.9331103678929766"/>
        <n v="7.5726315789473686"/>
        <n v="7.2819548872180455"/>
        <n v="8.1008968609865484"/>
        <n v="7.2251407129455911"/>
        <n v="6.4518272425249172"/>
        <n v="7.1578044596912509"/>
      </sharedItems>
    </cacheField>
    <cacheField name="Prikaz" numFmtId="2">
      <sharedItems containsSemiMixedTypes="0" containsString="0" containsNumber="1" minValue="0" maxValue="8.1008968609865484"/>
    </cacheField>
    <cacheField name="Days (Datum)" numFmtId="0" databaseField="0">
      <fieldGroup base="0">
        <rangePr groupBy="days" startDate="2023-05-05T00:00:00" endDate="2023-10-15T00:00:00"/>
        <groupItems count="368">
          <s v="&lt;5.05.2023"/>
          <s v="1.jan"/>
          <s v="2.jan"/>
          <s v="3.jan"/>
          <s v="4.jan"/>
          <s v="5.jan"/>
          <s v="6.jan"/>
          <s v="7.jan"/>
          <s v="8.jan"/>
          <s v="9.jan"/>
          <s v="10.jan"/>
          <s v="11.jan"/>
          <s v="12.jan"/>
          <s v="13.jan"/>
          <s v="14.jan"/>
          <s v="15.jan"/>
          <s v="16.jan"/>
          <s v="17.jan"/>
          <s v="18.jan"/>
          <s v="19.jan"/>
          <s v="20.jan"/>
          <s v="21.jan"/>
          <s v="22.jan"/>
          <s v="23.jan"/>
          <s v="24.jan"/>
          <s v="25.jan"/>
          <s v="26.jan"/>
          <s v="27.jan"/>
          <s v="28.jan"/>
          <s v="29.jan"/>
          <s v="30.jan"/>
          <s v="31.jan"/>
          <s v="1.feb"/>
          <s v="2.feb"/>
          <s v="3.feb"/>
          <s v="4.feb"/>
          <s v="5.feb"/>
          <s v="6.feb"/>
          <s v="7.feb"/>
          <s v="8.feb"/>
          <s v="9.feb"/>
          <s v="10.feb"/>
          <s v="11.feb"/>
          <s v="12.feb"/>
          <s v="13.feb"/>
          <s v="14.feb"/>
          <s v="15.feb"/>
          <s v="16.feb"/>
          <s v="17.feb"/>
          <s v="18.feb"/>
          <s v="19.feb"/>
          <s v="20.feb"/>
          <s v="21.feb"/>
          <s v="22.feb"/>
          <s v="23.feb"/>
          <s v="24.feb"/>
          <s v="25.feb"/>
          <s v="26.feb"/>
          <s v="27.feb"/>
          <s v="28.feb"/>
          <s v="29.fe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apr"/>
          <s v="2.apr"/>
          <s v="3.apr"/>
          <s v="4.apr"/>
          <s v="5.apr"/>
          <s v="6.apr"/>
          <s v="7.apr"/>
          <s v="8.apr"/>
          <s v="9.apr"/>
          <s v="10.apr"/>
          <s v="11.apr"/>
          <s v="12.apr"/>
          <s v="13.apr"/>
          <s v="14.apr"/>
          <s v="15.apr"/>
          <s v="16.apr"/>
          <s v="17.apr"/>
          <s v="18.apr"/>
          <s v="19.apr"/>
          <s v="20.apr"/>
          <s v="21.apr"/>
          <s v="22.apr"/>
          <s v="23.apr"/>
          <s v="24.apr"/>
          <s v="25.apr"/>
          <s v="26.apr"/>
          <s v="27.apr"/>
          <s v="28.apr"/>
          <s v="29.apr"/>
          <s v="30.apr"/>
          <s v="1.maj"/>
          <s v="2.maj"/>
          <s v="3.maj"/>
          <s v="4.maj"/>
          <s v="5.maj"/>
          <s v="6.maj"/>
          <s v="7.maj"/>
          <s v="8.maj"/>
          <s v="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1.jun"/>
          <s v="2.jun"/>
          <s v="3.jun"/>
          <s v="4.jun"/>
          <s v="5.jun"/>
          <s v="6.jun"/>
          <s v="7.jun"/>
          <s v="8.jun"/>
          <s v="9.jun"/>
          <s v="10.jun"/>
          <s v="11.jun"/>
          <s v="12.jun"/>
          <s v="13.jun"/>
          <s v="14.jun"/>
          <s v="15.jun"/>
          <s v="16.jun"/>
          <s v="17.jun"/>
          <s v="18.jun"/>
          <s v="19.jun"/>
          <s v="20.jun"/>
          <s v="21.jun"/>
          <s v="22.jun"/>
          <s v="23.jun"/>
          <s v="24.jun"/>
          <s v="25.jun"/>
          <s v="26.jun"/>
          <s v="27.jun"/>
          <s v="28.jun"/>
          <s v="29.jun"/>
          <s v="30.jun"/>
          <s v="1.jul"/>
          <s v="2.jul"/>
          <s v="3.jul"/>
          <s v="4.jul"/>
          <s v="5.jul"/>
          <s v="6.jul"/>
          <s v="7.jul"/>
          <s v="8.jul"/>
          <s v="9.jul"/>
          <s v="10.jul"/>
          <s v="11.jul"/>
          <s v="12.jul"/>
          <s v="13.jul"/>
          <s v="14.jul"/>
          <s v="15.jul"/>
          <s v="16.jul"/>
          <s v="17.jul"/>
          <s v="18.jul"/>
          <s v="19.jul"/>
          <s v="20.jul"/>
          <s v="21.jul"/>
          <s v="22.jul"/>
          <s v="23.jul"/>
          <s v="24.jul"/>
          <s v="25.jul"/>
          <s v="26.jul"/>
          <s v="27.jul"/>
          <s v="28.jul"/>
          <s v="29.jul"/>
          <s v="30.jul"/>
          <s v="31.jul"/>
          <s v="1.avg"/>
          <s v="2.avg"/>
          <s v="3.avg"/>
          <s v="4.avg"/>
          <s v="5.avg"/>
          <s v="6.avg"/>
          <s v="7.avg"/>
          <s v="8.avg"/>
          <s v="9.avg"/>
          <s v="10.avg"/>
          <s v="11.avg"/>
          <s v="12.avg"/>
          <s v="13.avg"/>
          <s v="14.avg"/>
          <s v="15.avg"/>
          <s v="16.avg"/>
          <s v="17.avg"/>
          <s v="18.avg"/>
          <s v="19.avg"/>
          <s v="20.avg"/>
          <s v="21.avg"/>
          <s v="22.avg"/>
          <s v="23.avg"/>
          <s v="24.avg"/>
          <s v="25.avg"/>
          <s v="26.avg"/>
          <s v="27.avg"/>
          <s v="28.avg"/>
          <s v="29.avg"/>
          <s v="30.avg"/>
          <s v="31.avg"/>
          <s v="1.sep"/>
          <s v="2.sep"/>
          <s v="3.sep"/>
          <s v="4.sep"/>
          <s v="5.sep"/>
          <s v="6.sep"/>
          <s v="7.sep"/>
          <s v="8.sep"/>
          <s v="9.sep"/>
          <s v="10.sep"/>
          <s v="11.sep"/>
          <s v="12.sep"/>
          <s v="13.sep"/>
          <s v="14.sep"/>
          <s v="15.sep"/>
          <s v="16.sep"/>
          <s v="17.sep"/>
          <s v="18.sep"/>
          <s v="19.sep"/>
          <s v="20.sep"/>
          <s v="21.sep"/>
          <s v="22.sep"/>
          <s v="23.sep"/>
          <s v="24.sep"/>
          <s v="25.sep"/>
          <s v="26.sep"/>
          <s v="27.sep"/>
          <s v="28.sep"/>
          <s v="29.sep"/>
          <s v="30.sep"/>
          <s v="1.okt"/>
          <s v="2.okt"/>
          <s v="3.okt"/>
          <s v="4.okt"/>
          <s v="5.okt"/>
          <s v="6.okt"/>
          <s v="7.okt"/>
          <s v="8.okt"/>
          <s v="9.okt"/>
          <s v="10.okt"/>
          <s v="11.okt"/>
          <s v="12.okt"/>
          <s v="13.okt"/>
          <s v="14.okt"/>
          <s v="15.okt"/>
          <s v="16.okt"/>
          <s v="17.okt"/>
          <s v="18.okt"/>
          <s v="19.okt"/>
          <s v="20.okt"/>
          <s v="21.okt"/>
          <s v="22.okt"/>
          <s v="23.okt"/>
          <s v="24.okt"/>
          <s v="25.okt"/>
          <s v="26.okt"/>
          <s v="27.okt"/>
          <s v="28.okt"/>
          <s v="29.okt"/>
          <s v="30.okt"/>
          <s v="31.okt"/>
          <s v="1.nov"/>
          <s v="2.nov"/>
          <s v="3.nov"/>
          <s v="4.nov"/>
          <s v="5.nov"/>
          <s v="6.nov"/>
          <s v="7.nov"/>
          <s v="8.nov"/>
          <s v="9.nov"/>
          <s v="10.nov"/>
          <s v="11.nov"/>
          <s v="12.nov"/>
          <s v="13.nov"/>
          <s v="14.nov"/>
          <s v="15.nov"/>
          <s v="16.nov"/>
          <s v="17.nov"/>
          <s v="18.nov"/>
          <s v="19.nov"/>
          <s v="20.nov"/>
          <s v="21.nov"/>
          <s v="22.nov"/>
          <s v="23.nov"/>
          <s v="24.nov"/>
          <s v="25.nov"/>
          <s v="26.nov"/>
          <s v="27.nov"/>
          <s v="28.nov"/>
          <s v="29.nov"/>
          <s v="30.nov"/>
          <s v="1.dec"/>
          <s v="2.dec"/>
          <s v="3.dec"/>
          <s v="4.dec"/>
          <s v="5.dec"/>
          <s v="6.dec"/>
          <s v="7.dec"/>
          <s v="8.dec"/>
          <s v="9.dec"/>
          <s v="10.dec"/>
          <s v="11.dec"/>
          <s v="12.dec"/>
          <s v="13.dec"/>
          <s v="14.dec"/>
          <s v="15.dec"/>
          <s v="16.dec"/>
          <s v="17.dec"/>
          <s v="18.dec"/>
          <s v="19.dec"/>
          <s v="20.dec"/>
          <s v="21.dec"/>
          <s v="22.dec"/>
          <s v="23.dec"/>
          <s v="24.dec"/>
          <s v="25.dec"/>
          <s v="26.dec"/>
          <s v="27.dec"/>
          <s v="28.dec"/>
          <s v="29.dec"/>
          <s v="30.dec"/>
          <s v="31.dec"/>
          <s v="&gt;15.10.2023"/>
        </groupItems>
      </fieldGroup>
    </cacheField>
    <cacheField name="Months (Datum)" numFmtId="0" databaseField="0">
      <fieldGroup base="0">
        <rangePr groupBy="months" startDate="2023-05-05T00:00:00" endDate="2023-10-15T00:00:00"/>
        <groupItems count="14">
          <s v="&lt;5.05.2023"/>
          <s v="jan"/>
          <s v="feb"/>
          <s v="mar"/>
          <s v="apr"/>
          <s v="maj"/>
          <s v="jun"/>
          <s v="jul"/>
          <s v="avg"/>
          <s v="sep"/>
          <s v="okt"/>
          <s v="nov"/>
          <s v="dec"/>
          <s v="&gt;15.10.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až Matoš" refreshedDate="45996.923458912039" createdVersion="8" refreshedVersion="8" minRefreshableVersion="3" recordCount="23" xr:uid="{5BB530F9-4C2F-499F-8917-4A41C58F0297}">
  <cacheSource type="worksheet">
    <worksheetSource name="Table3"/>
  </cacheSource>
  <cacheFields count="4">
    <cacheField name="Veljavnost" numFmtId="14">
      <sharedItems containsSemiMixedTypes="0" containsNonDate="0" containsDate="1" containsString="0" minDate="2023-01-04T00:00:00" maxDate="2023-11-08T00:00:00" count="23">
        <d v="2023-01-04T00:00:00"/>
        <d v="2023-01-17T00:00:00"/>
        <d v="2023-01-31T00:00:00"/>
        <d v="2023-02-14T00:00:00"/>
        <d v="2023-02-28T00:00:00"/>
        <d v="2023-03-14T00:00:00"/>
        <d v="2023-03-28T00:00:00"/>
        <d v="2023-04-12T00:00:00"/>
        <d v="2023-04-25T00:00:00"/>
        <d v="2023-05-09T00:00:00"/>
        <d v="2023-05-23T00:00:00"/>
        <d v="2023-06-06T00:00:00"/>
        <d v="2023-06-20T00:00:00"/>
        <d v="2023-07-04T00:00:00"/>
        <d v="2023-07-18T00:00:00"/>
        <d v="2023-08-01T00:00:00"/>
        <d v="2023-08-17T00:00:00"/>
        <d v="2023-08-29T00:00:00"/>
        <d v="2023-09-12T00:00:00"/>
        <d v="2023-09-26T00:00:00"/>
        <d v="2023-10-10T00:00:00"/>
        <d v="2023-10-24T00:00:00"/>
        <d v="2023-11-07T00:00:00"/>
      </sharedItems>
      <fieldGroup par="3"/>
    </cacheField>
    <cacheField name="Bencin" numFmtId="164">
      <sharedItems containsSemiMixedTypes="0" containsString="0" containsNumber="1" minValue="1.276" maxValue="1.5880000000000001"/>
    </cacheField>
    <cacheField name="Days (Veljavnost)" numFmtId="0" databaseField="0">
      <fieldGroup base="0">
        <rangePr groupBy="days" startDate="2023-01-04T00:00:00" endDate="2023-11-08T00:00:00"/>
        <groupItems count="368">
          <s v="&lt;4.01.2023"/>
          <s v="1.jan"/>
          <s v="2.jan"/>
          <s v="3.jan"/>
          <s v="4.jan"/>
          <s v="5.jan"/>
          <s v="6.jan"/>
          <s v="7.jan"/>
          <s v="8.jan"/>
          <s v="9.jan"/>
          <s v="10.jan"/>
          <s v="11.jan"/>
          <s v="12.jan"/>
          <s v="13.jan"/>
          <s v="14.jan"/>
          <s v="15.jan"/>
          <s v="16.jan"/>
          <s v="17.jan"/>
          <s v="18.jan"/>
          <s v="19.jan"/>
          <s v="20.jan"/>
          <s v="21.jan"/>
          <s v="22.jan"/>
          <s v="23.jan"/>
          <s v="24.jan"/>
          <s v="25.jan"/>
          <s v="26.jan"/>
          <s v="27.jan"/>
          <s v="28.jan"/>
          <s v="29.jan"/>
          <s v="30.jan"/>
          <s v="31.jan"/>
          <s v="1.feb"/>
          <s v="2.feb"/>
          <s v="3.feb"/>
          <s v="4.feb"/>
          <s v="5.feb"/>
          <s v="6.feb"/>
          <s v="7.feb"/>
          <s v="8.feb"/>
          <s v="9.feb"/>
          <s v="10.feb"/>
          <s v="11.feb"/>
          <s v="12.feb"/>
          <s v="13.feb"/>
          <s v="14.feb"/>
          <s v="15.feb"/>
          <s v="16.feb"/>
          <s v="17.feb"/>
          <s v="18.feb"/>
          <s v="19.feb"/>
          <s v="20.feb"/>
          <s v="21.feb"/>
          <s v="22.feb"/>
          <s v="23.feb"/>
          <s v="24.feb"/>
          <s v="25.feb"/>
          <s v="26.feb"/>
          <s v="27.feb"/>
          <s v="28.feb"/>
          <s v="29.fe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apr"/>
          <s v="2.apr"/>
          <s v="3.apr"/>
          <s v="4.apr"/>
          <s v="5.apr"/>
          <s v="6.apr"/>
          <s v="7.apr"/>
          <s v="8.apr"/>
          <s v="9.apr"/>
          <s v="10.apr"/>
          <s v="11.apr"/>
          <s v="12.apr"/>
          <s v="13.apr"/>
          <s v="14.apr"/>
          <s v="15.apr"/>
          <s v="16.apr"/>
          <s v="17.apr"/>
          <s v="18.apr"/>
          <s v="19.apr"/>
          <s v="20.apr"/>
          <s v="21.apr"/>
          <s v="22.apr"/>
          <s v="23.apr"/>
          <s v="24.apr"/>
          <s v="25.apr"/>
          <s v="26.apr"/>
          <s v="27.apr"/>
          <s v="28.apr"/>
          <s v="29.apr"/>
          <s v="30.apr"/>
          <s v="1.maj"/>
          <s v="2.maj"/>
          <s v="3.maj"/>
          <s v="4.maj"/>
          <s v="5.maj"/>
          <s v="6.maj"/>
          <s v="7.maj"/>
          <s v="8.maj"/>
          <s v="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1.jun"/>
          <s v="2.jun"/>
          <s v="3.jun"/>
          <s v="4.jun"/>
          <s v="5.jun"/>
          <s v="6.jun"/>
          <s v="7.jun"/>
          <s v="8.jun"/>
          <s v="9.jun"/>
          <s v="10.jun"/>
          <s v="11.jun"/>
          <s v="12.jun"/>
          <s v="13.jun"/>
          <s v="14.jun"/>
          <s v="15.jun"/>
          <s v="16.jun"/>
          <s v="17.jun"/>
          <s v="18.jun"/>
          <s v="19.jun"/>
          <s v="20.jun"/>
          <s v="21.jun"/>
          <s v="22.jun"/>
          <s v="23.jun"/>
          <s v="24.jun"/>
          <s v="25.jun"/>
          <s v="26.jun"/>
          <s v="27.jun"/>
          <s v="28.jun"/>
          <s v="29.jun"/>
          <s v="30.jun"/>
          <s v="1.jul"/>
          <s v="2.jul"/>
          <s v="3.jul"/>
          <s v="4.jul"/>
          <s v="5.jul"/>
          <s v="6.jul"/>
          <s v="7.jul"/>
          <s v="8.jul"/>
          <s v="9.jul"/>
          <s v="10.jul"/>
          <s v="11.jul"/>
          <s v="12.jul"/>
          <s v="13.jul"/>
          <s v="14.jul"/>
          <s v="15.jul"/>
          <s v="16.jul"/>
          <s v="17.jul"/>
          <s v="18.jul"/>
          <s v="19.jul"/>
          <s v="20.jul"/>
          <s v="21.jul"/>
          <s v="22.jul"/>
          <s v="23.jul"/>
          <s v="24.jul"/>
          <s v="25.jul"/>
          <s v="26.jul"/>
          <s v="27.jul"/>
          <s v="28.jul"/>
          <s v="29.jul"/>
          <s v="30.jul"/>
          <s v="31.jul"/>
          <s v="1.avg"/>
          <s v="2.avg"/>
          <s v="3.avg"/>
          <s v="4.avg"/>
          <s v="5.avg"/>
          <s v="6.avg"/>
          <s v="7.avg"/>
          <s v="8.avg"/>
          <s v="9.avg"/>
          <s v="10.avg"/>
          <s v="11.avg"/>
          <s v="12.avg"/>
          <s v="13.avg"/>
          <s v="14.avg"/>
          <s v="15.avg"/>
          <s v="16.avg"/>
          <s v="17.avg"/>
          <s v="18.avg"/>
          <s v="19.avg"/>
          <s v="20.avg"/>
          <s v="21.avg"/>
          <s v="22.avg"/>
          <s v="23.avg"/>
          <s v="24.avg"/>
          <s v="25.avg"/>
          <s v="26.avg"/>
          <s v="27.avg"/>
          <s v="28.avg"/>
          <s v="29.avg"/>
          <s v="30.avg"/>
          <s v="31.avg"/>
          <s v="1.sep"/>
          <s v="2.sep"/>
          <s v="3.sep"/>
          <s v="4.sep"/>
          <s v="5.sep"/>
          <s v="6.sep"/>
          <s v="7.sep"/>
          <s v="8.sep"/>
          <s v="9.sep"/>
          <s v="10.sep"/>
          <s v="11.sep"/>
          <s v="12.sep"/>
          <s v="13.sep"/>
          <s v="14.sep"/>
          <s v="15.sep"/>
          <s v="16.sep"/>
          <s v="17.sep"/>
          <s v="18.sep"/>
          <s v="19.sep"/>
          <s v="20.sep"/>
          <s v="21.sep"/>
          <s v="22.sep"/>
          <s v="23.sep"/>
          <s v="24.sep"/>
          <s v="25.sep"/>
          <s v="26.sep"/>
          <s v="27.sep"/>
          <s v="28.sep"/>
          <s v="29.sep"/>
          <s v="30.sep"/>
          <s v="1.okt"/>
          <s v="2.okt"/>
          <s v="3.okt"/>
          <s v="4.okt"/>
          <s v="5.okt"/>
          <s v="6.okt"/>
          <s v="7.okt"/>
          <s v="8.okt"/>
          <s v="9.okt"/>
          <s v="10.okt"/>
          <s v="11.okt"/>
          <s v="12.okt"/>
          <s v="13.okt"/>
          <s v="14.okt"/>
          <s v="15.okt"/>
          <s v="16.okt"/>
          <s v="17.okt"/>
          <s v="18.okt"/>
          <s v="19.okt"/>
          <s v="20.okt"/>
          <s v="21.okt"/>
          <s v="22.okt"/>
          <s v="23.okt"/>
          <s v="24.okt"/>
          <s v="25.okt"/>
          <s v="26.okt"/>
          <s v="27.okt"/>
          <s v="28.okt"/>
          <s v="29.okt"/>
          <s v="30.okt"/>
          <s v="31.okt"/>
          <s v="1.nov"/>
          <s v="2.nov"/>
          <s v="3.nov"/>
          <s v="4.nov"/>
          <s v="5.nov"/>
          <s v="6.nov"/>
          <s v="7.nov"/>
          <s v="8.nov"/>
          <s v="9.nov"/>
          <s v="10.nov"/>
          <s v="11.nov"/>
          <s v="12.nov"/>
          <s v="13.nov"/>
          <s v="14.nov"/>
          <s v="15.nov"/>
          <s v="16.nov"/>
          <s v="17.nov"/>
          <s v="18.nov"/>
          <s v="19.nov"/>
          <s v="20.nov"/>
          <s v="21.nov"/>
          <s v="22.nov"/>
          <s v="23.nov"/>
          <s v="24.nov"/>
          <s v="25.nov"/>
          <s v="26.nov"/>
          <s v="27.nov"/>
          <s v="28.nov"/>
          <s v="29.nov"/>
          <s v="30.nov"/>
          <s v="1.dec"/>
          <s v="2.dec"/>
          <s v="3.dec"/>
          <s v="4.dec"/>
          <s v="5.dec"/>
          <s v="6.dec"/>
          <s v="7.dec"/>
          <s v="8.dec"/>
          <s v="9.dec"/>
          <s v="10.dec"/>
          <s v="11.dec"/>
          <s v="12.dec"/>
          <s v="13.dec"/>
          <s v="14.dec"/>
          <s v="15.dec"/>
          <s v="16.dec"/>
          <s v="17.dec"/>
          <s v="18.dec"/>
          <s v="19.dec"/>
          <s v="20.dec"/>
          <s v="21.dec"/>
          <s v="22.dec"/>
          <s v="23.dec"/>
          <s v="24.dec"/>
          <s v="25.dec"/>
          <s v="26.dec"/>
          <s v="27.dec"/>
          <s v="28.dec"/>
          <s v="29.dec"/>
          <s v="30.dec"/>
          <s v="31.dec"/>
          <s v="&gt;8.11.2023"/>
        </groupItems>
      </fieldGroup>
    </cacheField>
    <cacheField name="Months (Veljavnost)" numFmtId="0" databaseField="0">
      <fieldGroup base="0">
        <rangePr groupBy="months" startDate="2023-01-04T00:00:00" endDate="2023-11-08T00:00:00"/>
        <groupItems count="14">
          <s v="&lt;4.01.2023"/>
          <s v="jan"/>
          <s v="feb"/>
          <s v="mar"/>
          <s v="apr"/>
          <s v="maj"/>
          <s v="jun"/>
          <s v="jul"/>
          <s v="avg"/>
          <s v="sep"/>
          <s v="okt"/>
          <s v="nov"/>
          <s v="dec"/>
          <s v="&gt;8.11.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n v="41.17"/>
    <n v="58.296720000000001"/>
    <n v="41907"/>
    <x v="0"/>
    <x v="0"/>
    <n v="0"/>
  </r>
  <r>
    <x v="1"/>
    <n v="43.02"/>
    <n v="59.797800000000002"/>
    <n v="42521"/>
    <x v="1"/>
    <x v="1"/>
    <n v="7.006514657980456"/>
  </r>
  <r>
    <x v="2"/>
    <n v="41.67"/>
    <n v="57.921299999999995"/>
    <n v="43181"/>
    <x v="2"/>
    <x v="2"/>
    <n v="6.3136363636363644"/>
  </r>
  <r>
    <x v="3"/>
    <n v="34.04"/>
    <n v="47.043279999999996"/>
    <n v="43696"/>
    <x v="3"/>
    <x v="3"/>
    <n v="6.6097087378640769"/>
  </r>
  <r>
    <x v="4"/>
    <n v="42.42"/>
    <n v="59.897039999999997"/>
    <n v="44314"/>
    <x v="4"/>
    <x v="4"/>
    <n v="6.8640776699029127"/>
  </r>
  <r>
    <x v="5"/>
    <n v="43.1"/>
    <n v="60.857199999999999"/>
    <n v="44997"/>
    <x v="5"/>
    <x v="5"/>
    <n v="6.3103953147877023"/>
  </r>
  <r>
    <x v="6"/>
    <n v="38.18"/>
    <n v="54.368319999999997"/>
    <n v="45546"/>
    <x v="6"/>
    <x v="6"/>
    <n v="6.9544626593806917"/>
  </r>
  <r>
    <x v="7"/>
    <n v="40.659999999999997"/>
    <n v="58.713039999999992"/>
    <n v="46126"/>
    <x v="7"/>
    <x v="7"/>
    <n v="7.0103448275862066"/>
  </r>
  <r>
    <x v="8"/>
    <n v="39.17"/>
    <n v="56.561480000000003"/>
    <n v="46687"/>
    <x v="8"/>
    <x v="8"/>
    <n v="6.9821746880570412"/>
  </r>
  <r>
    <x v="9"/>
    <n v="40.29"/>
    <n v="58.662239999999997"/>
    <n v="47250"/>
    <x v="9"/>
    <x v="9"/>
    <n v="7.1563055062166967"/>
  </r>
  <r>
    <x v="10"/>
    <n v="41.01"/>
    <n v="59.710559999999994"/>
    <n v="47867"/>
    <x v="10"/>
    <x v="10"/>
    <n v="6.6466774716369521"/>
  </r>
  <r>
    <x v="11"/>
    <n v="37.18"/>
    <n v="56.178979999999996"/>
    <n v="48407"/>
    <x v="11"/>
    <x v="11"/>
    <n v="6.8851851851851844"/>
  </r>
  <r>
    <x v="12"/>
    <n v="41.46"/>
    <n v="62.646059999999999"/>
    <n v="49005"/>
    <x v="12"/>
    <x v="12"/>
    <n v="6.9331103678929766"/>
  </r>
  <r>
    <x v="13"/>
    <n v="35.97"/>
    <n v="55.537680000000002"/>
    <n v="49480"/>
    <x v="13"/>
    <x v="13"/>
    <n v="7.5726315789473686"/>
  </r>
  <r>
    <x v="14"/>
    <n v="38.74"/>
    <n v="60.085740000000001"/>
    <n v="50012"/>
    <x v="14"/>
    <x v="14"/>
    <n v="7.2819548872180455"/>
  </r>
  <r>
    <x v="15"/>
    <n v="36.130000000000003"/>
    <n v="56.03763"/>
    <n v="50458"/>
    <x v="15"/>
    <x v="15"/>
    <n v="8.1008968609865484"/>
  </r>
  <r>
    <x v="16"/>
    <n v="38.51"/>
    <n v="61.153880000000001"/>
    <n v="50991"/>
    <x v="16"/>
    <x v="16"/>
    <n v="7.2251407129455911"/>
  </r>
  <r>
    <x v="17"/>
    <n v="38.840000000000003"/>
    <n v="61.677920000000007"/>
    <n v="51593"/>
    <x v="17"/>
    <x v="17"/>
    <n v="6.4518272425249172"/>
  </r>
  <r>
    <x v="18"/>
    <n v="41.73"/>
    <n v="64.097279999999998"/>
    <n v="52176"/>
    <x v="18"/>
    <x v="18"/>
    <n v="7.157804459691250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n v="1.276"/>
  </r>
  <r>
    <x v="1"/>
    <n v="1.288"/>
  </r>
  <r>
    <x v="2"/>
    <n v="1.355"/>
  </r>
  <r>
    <x v="3"/>
    <n v="1.355"/>
  </r>
  <r>
    <x v="4"/>
    <n v="1.359"/>
  </r>
  <r>
    <x v="5"/>
    <n v="1.3740000000000001"/>
  </r>
  <r>
    <x v="6"/>
    <n v="1.3740000000000001"/>
  </r>
  <r>
    <x v="7"/>
    <n v="1.4159999999999999"/>
  </r>
  <r>
    <x v="8"/>
    <n v="1.4159999999999999"/>
  </r>
  <r>
    <x v="9"/>
    <n v="1.39"/>
  </r>
  <r>
    <x v="10"/>
    <n v="1.3819999999999999"/>
  </r>
  <r>
    <x v="11"/>
    <n v="1.4119999999999999"/>
  </r>
  <r>
    <x v="12"/>
    <n v="1.4239999999999999"/>
  </r>
  <r>
    <x v="13"/>
    <n v="1.444"/>
  </r>
  <r>
    <x v="14"/>
    <n v="1.456"/>
  </r>
  <r>
    <x v="15"/>
    <n v="1.5109999999999999"/>
  </r>
  <r>
    <x v="16"/>
    <n v="1.5109999999999999"/>
  </r>
  <r>
    <x v="17"/>
    <n v="1.544"/>
  </r>
  <r>
    <x v="18"/>
    <n v="1.5509999999999999"/>
  </r>
  <r>
    <x v="19"/>
    <n v="1.5880000000000001"/>
  </r>
  <r>
    <x v="20"/>
    <n v="1.536"/>
  </r>
  <r>
    <x v="21"/>
    <n v="1.536"/>
  </r>
  <r>
    <x v="22"/>
    <n v="1.5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A7FB34-F6E7-436C-8A04-6EFA03251F55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M12:N24" firstHeaderRow="1" firstDataRow="1" firstDataCol="1"/>
  <pivotFields count="4">
    <pivotField axis="axisRow" numFmtId="14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dataField="1" numFmtId="16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3"/>
    <field x="2"/>
    <field x="0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Bencin" fld="1" subtotal="average" baseField="3" baseItem="1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C66C6C-93D6-4617-9BEC-ED88B7CED1E3}" name="PivotTable1" cacheId="5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T8" firstHeaderRow="1" firstDataRow="4" firstDataCol="1"/>
  <pivotFields count="9">
    <pivotField axis="axisCol" numFmtId="14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umFmtId="2" showAll="0"/>
    <pivotField numFmtId="169" showAll="0"/>
    <pivotField numFmtId="3" showAll="0"/>
    <pivotField dataField="1" showAll="0">
      <items count="20">
        <item x="15"/>
        <item x="13"/>
        <item x="3"/>
        <item x="14"/>
        <item x="16"/>
        <item x="11"/>
        <item x="6"/>
        <item x="8"/>
        <item x="9"/>
        <item x="7"/>
        <item x="18"/>
        <item x="12"/>
        <item x="17"/>
        <item x="1"/>
        <item x="10"/>
        <item x="4"/>
        <item x="2"/>
        <item x="5"/>
        <item x="0"/>
        <item t="default"/>
      </items>
    </pivotField>
    <pivotField dataField="1" showAll="0">
      <items count="20">
        <item x="5"/>
        <item x="2"/>
        <item x="17"/>
        <item x="3"/>
        <item x="10"/>
        <item x="4"/>
        <item x="11"/>
        <item x="12"/>
        <item x="6"/>
        <item x="8"/>
        <item x="1"/>
        <item x="7"/>
        <item x="9"/>
        <item x="18"/>
        <item x="16"/>
        <item x="14"/>
        <item x="13"/>
        <item x="15"/>
        <item x="0"/>
        <item t="default"/>
      </items>
    </pivotField>
    <pivotField numFmtId="2"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-2"/>
  </rowFields>
  <rowItems count="2">
    <i>
      <x/>
    </i>
    <i i="1">
      <x v="1"/>
    </i>
  </rowItems>
  <colFields count="3">
    <field x="8"/>
    <field x="7"/>
    <field x="0"/>
  </colFields>
  <colItems count="7"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2">
    <dataField name="Sum of Prevoženo" fld="4" baseField="8" baseItem="5"/>
    <dataField name="Average of Poraba" fld="5" subtotal="average" baseField="8" baseItem="5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8864778-F620-4D44-B290-593D022A2D1C}" autoFormatId="16" applyNumberFormats="0" applyBorderFormats="0" applyFontFormats="0" applyPatternFormats="0" applyAlignmentFormats="0" applyWidthHeightFormats="0">
  <queryTableRefresh nextId="14" unboundColumnsRight="1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11" dataBound="0" tableColumnId="11"/>
    </queryTableFields>
    <queryTableDeletedFields count="2">
      <deletedField name="Column7"/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308AD5-65CF-A249-80D4-A2A1301BDB4E}" name="Poraba" displayName="Poraba" ref="B2:H21" tableType="queryTable" totalsRowShown="0">
  <autoFilter ref="B2:H21" xr:uid="{4B308AD5-65CF-A249-80D4-A2A1301BDB4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E4C5B71E-FC31-5C41-A064-103F27749A97}" uniqueName="1" name="Datum" queryTableFieldId="1" dataDxfId="5"/>
    <tableColumn id="2" xr3:uid="{6DC2697C-FCB3-8A47-945B-8CD05834AA8C}" uniqueName="2" name="Litri" queryTableFieldId="2" dataDxfId="4"/>
    <tableColumn id="3" xr3:uid="{19DBC541-3ADF-4E48-8786-6E42DA219788}" uniqueName="3" name="Plačano" queryTableFieldId="3" dataDxfId="2"/>
    <tableColumn id="4" xr3:uid="{3238A9AD-2FC0-0E49-9EE3-7019C05B366B}" uniqueName="4" name="Števec" queryTableFieldId="4" dataDxfId="3"/>
    <tableColumn id="5" xr3:uid="{E0B5480D-9C8F-CA4C-941D-AE9FDE0CDFDC}" uniqueName="5" name="Prevoženo" queryTableFieldId="5" dataDxfId="12"/>
    <tableColumn id="6" xr3:uid="{1DEAFC6B-8470-6742-BAB3-957B7429D133}" uniqueName="6" name="Poraba" queryTableFieldId="6" dataDxfId="11"/>
    <tableColumn id="11" xr3:uid="{911769A8-5CFE-8245-A64B-38797D90A3B5}" uniqueName="11" name="Prikaz" queryTableFieldId="11" dataDxfId="0">
      <calculatedColumnFormula>Poraba[[#This Row],[Poraba]]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6AF57-84FE-3944-82AB-DB7DC1C050CB}" name="Table3" displayName="Table3" ref="J2:K25" totalsRowShown="0" headerRowBorderDxfId="10" tableBorderDxfId="9" totalsRowBorderDxfId="8">
  <autoFilter ref="J2:K25" xr:uid="{E8D6AF57-84FE-3944-82AB-DB7DC1C050CB}"/>
  <sortState xmlns:xlrd2="http://schemas.microsoft.com/office/spreadsheetml/2017/richdata2" ref="J3:K25">
    <sortCondition ref="J2:J25"/>
  </sortState>
  <tableColumns count="2">
    <tableColumn id="1" xr3:uid="{0C7E1327-9FA7-3E43-8151-18CCECA1E09D}" name="Veljavnost" dataDxfId="7"/>
    <tableColumn id="2" xr3:uid="{079EA12A-47EB-F54A-8E37-30D8BCE75150}" name="Bencin" dataDxfId="6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EE973-305A-44D6-A049-43CFDB41BB2F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CC9D-4E93-D44D-AE31-BECED325B0FB}">
  <dimension ref="B2:T34"/>
  <sheetViews>
    <sheetView tabSelected="1" topLeftCell="A15" zoomScale="124" zoomScaleNormal="120" workbookViewId="0">
      <selection activeCell="G31" sqref="G31:H34"/>
    </sheetView>
  </sheetViews>
  <sheetFormatPr defaultColWidth="11.5546875" defaultRowHeight="14.4" x14ac:dyDescent="0.3"/>
  <cols>
    <col min="1" max="1" width="3.77734375" customWidth="1"/>
    <col min="2" max="2" width="10.109375" bestFit="1" customWidth="1"/>
    <col min="3" max="3" width="6.77734375" bestFit="1" customWidth="1"/>
    <col min="4" max="4" width="9.6640625" bestFit="1" customWidth="1"/>
    <col min="5" max="5" width="8.6640625" bestFit="1" customWidth="1"/>
    <col min="6" max="6" width="11.6640625" bestFit="1" customWidth="1"/>
    <col min="7" max="7" width="10.5546875" bestFit="1" customWidth="1"/>
    <col min="8" max="8" width="16.109375" customWidth="1"/>
    <col min="9" max="9" width="3.33203125" customWidth="1"/>
    <col min="10" max="10" width="11.77734375" bestFit="1" customWidth="1"/>
    <col min="11" max="11" width="10.6640625" bestFit="1" customWidth="1"/>
    <col min="13" max="13" width="12.5546875" bestFit="1" customWidth="1"/>
    <col min="14" max="14" width="16.33203125" bestFit="1" customWidth="1"/>
    <col min="15" max="16" width="12.109375" bestFit="1" customWidth="1"/>
    <col min="17" max="17" width="13.44140625" bestFit="1" customWidth="1"/>
    <col min="18" max="18" width="11" bestFit="1" customWidth="1"/>
    <col min="19" max="20" width="12.109375" bestFit="1" customWidth="1"/>
    <col min="21" max="24" width="17.88671875" bestFit="1" customWidth="1"/>
    <col min="25" max="25" width="18.33203125" bestFit="1" customWidth="1"/>
    <col min="26" max="26" width="22.77734375" bestFit="1" customWidth="1"/>
    <col min="27" max="31" width="15.5546875" bestFit="1" customWidth="1"/>
    <col min="32" max="32" width="11" bestFit="1" customWidth="1"/>
  </cols>
  <sheetData>
    <row r="2" spans="2:20" x14ac:dyDescent="0.3">
      <c r="B2" t="s">
        <v>2</v>
      </c>
      <c r="C2" t="s">
        <v>3</v>
      </c>
      <c r="D2" t="s">
        <v>8</v>
      </c>
      <c r="E2" t="s">
        <v>5</v>
      </c>
      <c r="F2" t="s">
        <v>7</v>
      </c>
      <c r="G2" t="s">
        <v>6</v>
      </c>
      <c r="H2" t="s">
        <v>9</v>
      </c>
      <c r="J2" t="s">
        <v>1</v>
      </c>
      <c r="K2" t="s">
        <v>0</v>
      </c>
    </row>
    <row r="3" spans="2:20" x14ac:dyDescent="0.3">
      <c r="B3" s="1">
        <v>45051</v>
      </c>
      <c r="C3" s="3">
        <v>41.17</v>
      </c>
      <c r="D3" s="6">
        <f>Poraba[[#This Row],[Litri]]*INDEX(Table3[Bencin],MATCH(Poraba[[#This Row],[Datum]],Table3[Veljavnost],1))</f>
        <v>58.296720000000001</v>
      </c>
      <c r="E3" s="2">
        <v>41907</v>
      </c>
      <c r="F3" t="s">
        <v>4</v>
      </c>
      <c r="H3" s="11">
        <f>Poraba[[#This Row],[Poraba]]</f>
        <v>0</v>
      </c>
      <c r="J3" s="1">
        <v>44930</v>
      </c>
      <c r="K3" s="4">
        <v>1.276</v>
      </c>
      <c r="N3" s="7" t="s">
        <v>10</v>
      </c>
    </row>
    <row r="4" spans="2:20" x14ac:dyDescent="0.3">
      <c r="B4" s="1">
        <v>45059</v>
      </c>
      <c r="C4" s="3">
        <v>43.02</v>
      </c>
      <c r="D4" s="6">
        <f>Poraba[[#This Row],[Litri]]*INDEX(Table3[Bencin],MATCH(Poraba[[#This Row],[Datum]],Table3[Veljavnost],1))</f>
        <v>59.797800000000002</v>
      </c>
      <c r="E4" s="2">
        <v>42521</v>
      </c>
      <c r="F4" s="2">
        <f>-E3+Poraba[[#This Row],[Števec]]</f>
        <v>614</v>
      </c>
      <c r="G4" s="3">
        <f>Poraba[[#This Row],[Litri]]/Poraba[[#This Row],[Prevoženo]]*100</f>
        <v>7.006514657980456</v>
      </c>
      <c r="H4" s="11">
        <f>Poraba[[#This Row],[Poraba]]</f>
        <v>7.006514657980456</v>
      </c>
      <c r="J4" s="1">
        <v>44943</v>
      </c>
      <c r="K4" s="4">
        <v>1.288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11</v>
      </c>
    </row>
    <row r="5" spans="2:20" x14ac:dyDescent="0.3">
      <c r="B5" s="1">
        <v>45068</v>
      </c>
      <c r="C5" s="3">
        <v>41.67</v>
      </c>
      <c r="D5" s="6">
        <f>Poraba[[#This Row],[Litri]]*INDEX(Table3[Bencin],MATCH(Poraba[[#This Row],[Datum]],Table3[Veljavnost],1))</f>
        <v>57.921299999999995</v>
      </c>
      <c r="E5" s="2">
        <v>43181</v>
      </c>
      <c r="F5" s="2">
        <f>-E4+Poraba[[#This Row],[Števec]]</f>
        <v>660</v>
      </c>
      <c r="G5" s="3">
        <f>Poraba[[#This Row],[Litri]]/Poraba[[#This Row],[Prevoženo]]*100</f>
        <v>6.3136363636363644</v>
      </c>
      <c r="H5" s="11">
        <f>Poraba[[#This Row],[Poraba]]</f>
        <v>6.3136363636363644</v>
      </c>
      <c r="J5" s="1">
        <v>44957</v>
      </c>
      <c r="K5" s="4">
        <v>1.355</v>
      </c>
    </row>
    <row r="6" spans="2:20" x14ac:dyDescent="0.3">
      <c r="B6" s="1">
        <v>45073</v>
      </c>
      <c r="C6" s="3">
        <v>34.04</v>
      </c>
      <c r="D6" s="6">
        <f>Poraba[[#This Row],[Litri]]*INDEX(Table3[Bencin],MATCH(Poraba[[#This Row],[Datum]],Table3[Veljavnost],1))</f>
        <v>47.043279999999996</v>
      </c>
      <c r="E6" s="2">
        <v>43696</v>
      </c>
      <c r="F6" s="2">
        <f>-E5+Poraba[[#This Row],[Števec]]</f>
        <v>515</v>
      </c>
      <c r="G6" s="3">
        <f>Poraba[[#This Row],[Litri]]/Poraba[[#This Row],[Prevoženo]]*100</f>
        <v>6.6097087378640769</v>
      </c>
      <c r="H6" s="11">
        <f>Poraba[[#This Row],[Poraba]]</f>
        <v>6.6097087378640769</v>
      </c>
      <c r="J6" s="1">
        <v>44971</v>
      </c>
      <c r="K6" s="4">
        <v>1.355</v>
      </c>
      <c r="M6" s="7" t="s">
        <v>21</v>
      </c>
    </row>
    <row r="7" spans="2:20" x14ac:dyDescent="0.3">
      <c r="B7" s="1">
        <v>45085</v>
      </c>
      <c r="C7" s="3">
        <v>42.42</v>
      </c>
      <c r="D7" s="6">
        <f>Poraba[[#This Row],[Litri]]*INDEX(Table3[Bencin],MATCH(Poraba[[#This Row],[Datum]],Table3[Veljavnost],1))</f>
        <v>59.897039999999997</v>
      </c>
      <c r="E7" s="2">
        <v>44314</v>
      </c>
      <c r="F7" s="2">
        <f>-E6+Poraba[[#This Row],[Števec]]</f>
        <v>618</v>
      </c>
      <c r="G7" s="3">
        <f>Poraba[[#This Row],[Litri]]/Poraba[[#This Row],[Prevoženo]]*100</f>
        <v>6.8640776699029127</v>
      </c>
      <c r="H7" s="11">
        <f>Poraba[[#This Row],[Poraba]]</f>
        <v>6.8640776699029127</v>
      </c>
      <c r="J7" s="1">
        <v>44985</v>
      </c>
      <c r="K7" s="4">
        <v>1.359</v>
      </c>
      <c r="M7" s="8" t="s">
        <v>18</v>
      </c>
      <c r="N7" s="9">
        <v>1789</v>
      </c>
      <c r="O7" s="9">
        <v>1850</v>
      </c>
      <c r="P7" s="9">
        <v>2321</v>
      </c>
      <c r="Q7" s="9">
        <v>1138</v>
      </c>
      <c r="R7" s="9">
        <v>1986</v>
      </c>
      <c r="S7" s="9">
        <v>1185</v>
      </c>
      <c r="T7" s="9">
        <v>10269</v>
      </c>
    </row>
    <row r="8" spans="2:20" x14ac:dyDescent="0.3">
      <c r="B8" s="1">
        <v>45093</v>
      </c>
      <c r="C8" s="3">
        <v>43.1</v>
      </c>
      <c r="D8" s="6">
        <f>Poraba[[#This Row],[Litri]]*INDEX(Table3[Bencin],MATCH(Poraba[[#This Row],[Datum]],Table3[Veljavnost],1))</f>
        <v>60.857199999999999</v>
      </c>
      <c r="E8" s="2">
        <v>44997</v>
      </c>
      <c r="F8" s="2">
        <f>-E7+Poraba[[#This Row],[Števec]]</f>
        <v>683</v>
      </c>
      <c r="G8" s="3">
        <f>Poraba[[#This Row],[Litri]]/Poraba[[#This Row],[Prevoženo]]*100</f>
        <v>6.3103953147877023</v>
      </c>
      <c r="H8" s="11">
        <f>Poraba[[#This Row],[Poraba]]</f>
        <v>6.3103953147877023</v>
      </c>
      <c r="J8" s="1">
        <v>44999</v>
      </c>
      <c r="K8" s="4">
        <v>1.3740000000000001</v>
      </c>
      <c r="M8" s="8" t="s">
        <v>19</v>
      </c>
      <c r="N8" s="9">
        <v>6.643286586493633</v>
      </c>
      <c r="O8" s="9">
        <v>6.7096452146904353</v>
      </c>
      <c r="P8" s="9">
        <v>6.9488756233742244</v>
      </c>
      <c r="Q8" s="9">
        <v>6.909147776539081</v>
      </c>
      <c r="R8" s="9">
        <v>7.5451560100243888</v>
      </c>
      <c r="S8" s="9">
        <v>6.8048158511080841</v>
      </c>
      <c r="T8" s="9">
        <v>6.9701582884689435</v>
      </c>
    </row>
    <row r="9" spans="2:20" x14ac:dyDescent="0.3">
      <c r="B9" s="1">
        <v>45099</v>
      </c>
      <c r="C9" s="3">
        <v>38.18</v>
      </c>
      <c r="D9" s="6">
        <f>Poraba[[#This Row],[Litri]]*INDEX(Table3[Bencin],MATCH(Poraba[[#This Row],[Datum]],Table3[Veljavnost],1))</f>
        <v>54.368319999999997</v>
      </c>
      <c r="E9" s="2">
        <v>45546</v>
      </c>
      <c r="F9" s="2">
        <f>-E8+Poraba[[#This Row],[Števec]]</f>
        <v>549</v>
      </c>
      <c r="G9" s="3">
        <f>Poraba[[#This Row],[Litri]]/Poraba[[#This Row],[Prevoženo]]*100</f>
        <v>6.9544626593806917</v>
      </c>
      <c r="H9" s="11">
        <f>Poraba[[#This Row],[Poraba]]</f>
        <v>6.9544626593806917</v>
      </c>
      <c r="J9" s="1">
        <v>45013</v>
      </c>
      <c r="K9" s="4">
        <v>1.3740000000000001</v>
      </c>
    </row>
    <row r="10" spans="2:20" x14ac:dyDescent="0.3">
      <c r="B10" s="1">
        <v>45113</v>
      </c>
      <c r="C10" s="3">
        <v>40.659999999999997</v>
      </c>
      <c r="D10" s="6">
        <f>Poraba[[#This Row],[Litri]]*INDEX(Table3[Bencin],MATCH(Poraba[[#This Row],[Datum]],Table3[Veljavnost],1))</f>
        <v>58.713039999999992</v>
      </c>
      <c r="E10" s="2">
        <v>46126</v>
      </c>
      <c r="F10" s="2">
        <f>-E9+Poraba[[#This Row],[Števec]]</f>
        <v>580</v>
      </c>
      <c r="G10" s="3">
        <f>Poraba[[#This Row],[Litri]]/Poraba[[#This Row],[Prevoženo]]*100</f>
        <v>7.0103448275862066</v>
      </c>
      <c r="H10" s="11">
        <f>Poraba[[#This Row],[Poraba]]</f>
        <v>7.0103448275862066</v>
      </c>
      <c r="J10" s="1">
        <v>45028</v>
      </c>
      <c r="K10" s="4">
        <v>1.4159999999999999</v>
      </c>
    </row>
    <row r="11" spans="2:20" x14ac:dyDescent="0.3">
      <c r="B11" s="1">
        <v>45122</v>
      </c>
      <c r="C11" s="3">
        <v>39.17</v>
      </c>
      <c r="D11" s="6">
        <f>Poraba[[#This Row],[Litri]]*INDEX(Table3[Bencin],MATCH(Poraba[[#This Row],[Datum]],Table3[Veljavnost],1))</f>
        <v>56.561480000000003</v>
      </c>
      <c r="E11" s="2">
        <v>46687</v>
      </c>
      <c r="F11" s="2">
        <f>-E10+Poraba[[#This Row],[Števec]]</f>
        <v>561</v>
      </c>
      <c r="G11" s="3">
        <f>Poraba[[#This Row],[Litri]]/Poraba[[#This Row],[Prevoženo]]*100</f>
        <v>6.9821746880570412</v>
      </c>
      <c r="H11" s="11">
        <f>Poraba[[#This Row],[Poraba]]</f>
        <v>6.9821746880570412</v>
      </c>
      <c r="J11" s="1">
        <v>45041</v>
      </c>
      <c r="K11" s="4">
        <v>1.4159999999999999</v>
      </c>
    </row>
    <row r="12" spans="2:20" x14ac:dyDescent="0.3">
      <c r="B12" s="1">
        <v>45129</v>
      </c>
      <c r="C12" s="3">
        <v>40.29</v>
      </c>
      <c r="D12" s="6">
        <f>Poraba[[#This Row],[Litri]]*INDEX(Table3[Bencin],MATCH(Poraba[[#This Row],[Datum]],Table3[Veljavnost],1))</f>
        <v>58.662239999999997</v>
      </c>
      <c r="E12" s="2">
        <v>47250</v>
      </c>
      <c r="F12" s="2">
        <f>-E11+Poraba[[#This Row],[Števec]]</f>
        <v>563</v>
      </c>
      <c r="G12" s="3">
        <f>Poraba[[#This Row],[Litri]]/Poraba[[#This Row],[Prevoženo]]*100</f>
        <v>7.1563055062166967</v>
      </c>
      <c r="H12" s="11">
        <f>Poraba[[#This Row],[Poraba]]</f>
        <v>7.1563055062166967</v>
      </c>
      <c r="J12" s="1">
        <v>45055</v>
      </c>
      <c r="K12" s="4">
        <v>1.39</v>
      </c>
      <c r="M12" s="7" t="s">
        <v>20</v>
      </c>
      <c r="N12" t="s">
        <v>27</v>
      </c>
      <c r="P12" t="s">
        <v>28</v>
      </c>
      <c r="Q12" t="s">
        <v>29</v>
      </c>
      <c r="R12" t="s">
        <v>30</v>
      </c>
    </row>
    <row r="13" spans="2:20" x14ac:dyDescent="0.3">
      <c r="B13" s="1">
        <v>45138</v>
      </c>
      <c r="C13" s="3">
        <v>41.01</v>
      </c>
      <c r="D13" s="6">
        <f>Poraba[[#This Row],[Litri]]*INDEX(Table3[Bencin],MATCH(Poraba[[#This Row],[Datum]],Table3[Veljavnost],1))</f>
        <v>59.710559999999994</v>
      </c>
      <c r="E13" s="2">
        <v>47867</v>
      </c>
      <c r="F13" s="2">
        <f>-E12+Poraba[[#This Row],[Števec]]</f>
        <v>617</v>
      </c>
      <c r="G13" s="3">
        <f>Poraba[[#This Row],[Litri]]/Poraba[[#This Row],[Prevoženo]]*100</f>
        <v>6.6466774716369521</v>
      </c>
      <c r="H13" s="11">
        <f>Poraba[[#This Row],[Poraba]]</f>
        <v>6.6466774716369521</v>
      </c>
      <c r="J13" s="1">
        <v>45069</v>
      </c>
      <c r="K13" s="4">
        <v>1.3819999999999999</v>
      </c>
      <c r="M13" s="8" t="s">
        <v>22</v>
      </c>
      <c r="N13" s="4">
        <v>1.3063333333333333</v>
      </c>
      <c r="P13" t="s">
        <v>12</v>
      </c>
      <c r="Q13" s="10">
        <v>1.3859999999999999</v>
      </c>
      <c r="R13" s="9">
        <v>6.643286586493633</v>
      </c>
    </row>
    <row r="14" spans="2:20" x14ac:dyDescent="0.3">
      <c r="B14" s="1">
        <v>45151</v>
      </c>
      <c r="C14" s="3">
        <v>37.18</v>
      </c>
      <c r="D14" s="6">
        <f>Poraba[[#This Row],[Litri]]*INDEX(Table3[Bencin],MATCH(Poraba[[#This Row],[Datum]],Table3[Veljavnost],1))</f>
        <v>56.178979999999996</v>
      </c>
      <c r="E14" s="2">
        <v>48407</v>
      </c>
      <c r="F14" s="2">
        <f>-E13+Poraba[[#This Row],[Števec]]</f>
        <v>540</v>
      </c>
      <c r="G14" s="3">
        <f>Poraba[[#This Row],[Litri]]/Poraba[[#This Row],[Prevoženo]]*100</f>
        <v>6.8851851851851844</v>
      </c>
      <c r="H14" s="11">
        <f>Poraba[[#This Row],[Poraba]]</f>
        <v>6.8851851851851844</v>
      </c>
      <c r="J14" s="1">
        <v>45083</v>
      </c>
      <c r="K14" s="4">
        <v>1.4119999999999999</v>
      </c>
      <c r="M14" s="8" t="s">
        <v>23</v>
      </c>
      <c r="N14" s="4">
        <v>1.357</v>
      </c>
      <c r="P14" t="s">
        <v>13</v>
      </c>
      <c r="Q14" s="10">
        <v>1.4179999999999999</v>
      </c>
      <c r="R14" s="9">
        <v>6.7096452146904353</v>
      </c>
    </row>
    <row r="15" spans="2:20" x14ac:dyDescent="0.3">
      <c r="B15" s="1">
        <v>45163</v>
      </c>
      <c r="C15" s="3">
        <v>41.46</v>
      </c>
      <c r="D15" s="6">
        <f>Poraba[[#This Row],[Litri]]*INDEX(Table3[Bencin],MATCH(Poraba[[#This Row],[Datum]],Table3[Veljavnost],1))</f>
        <v>62.646059999999999</v>
      </c>
      <c r="E15" s="2">
        <v>49005</v>
      </c>
      <c r="F15" s="2">
        <f>-E14+Poraba[[#This Row],[Števec]]</f>
        <v>598</v>
      </c>
      <c r="G15" s="3">
        <f>Poraba[[#This Row],[Litri]]/Poraba[[#This Row],[Prevoženo]]*100</f>
        <v>6.9331103678929766</v>
      </c>
      <c r="H15" s="11">
        <f>Poraba[[#This Row],[Poraba]]</f>
        <v>6.9331103678929766</v>
      </c>
      <c r="J15" s="1">
        <v>45097</v>
      </c>
      <c r="K15" s="4">
        <v>1.4239999999999999</v>
      </c>
      <c r="M15" s="8" t="s">
        <v>24</v>
      </c>
      <c r="N15" s="4">
        <v>1.3740000000000001</v>
      </c>
      <c r="P15" t="s">
        <v>14</v>
      </c>
      <c r="Q15" s="10">
        <v>1.45</v>
      </c>
      <c r="R15" s="9">
        <v>6.9488756233742244</v>
      </c>
    </row>
    <row r="16" spans="2:20" x14ac:dyDescent="0.3">
      <c r="B16" s="1">
        <v>45175</v>
      </c>
      <c r="C16" s="3">
        <v>35.97</v>
      </c>
      <c r="D16" s="6">
        <f>Poraba[[#This Row],[Litri]]*INDEX(Table3[Bencin],MATCH(Poraba[[#This Row],[Datum]],Table3[Veljavnost],1))</f>
        <v>55.537680000000002</v>
      </c>
      <c r="E16" s="2">
        <v>49480</v>
      </c>
      <c r="F16" s="2">
        <f>-E15+Poraba[[#This Row],[Števec]]</f>
        <v>475</v>
      </c>
      <c r="G16" s="3">
        <f>Poraba[[#This Row],[Litri]]/Poraba[[#This Row],[Prevoženo]]*100</f>
        <v>7.5726315789473686</v>
      </c>
      <c r="H16" s="11">
        <f>Poraba[[#This Row],[Poraba]]</f>
        <v>7.5726315789473686</v>
      </c>
      <c r="J16" s="1">
        <v>45111</v>
      </c>
      <c r="K16" s="4">
        <v>1.444</v>
      </c>
      <c r="M16" s="8" t="s">
        <v>25</v>
      </c>
      <c r="N16" s="4">
        <v>1.4159999999999999</v>
      </c>
      <c r="P16" t="s">
        <v>15</v>
      </c>
      <c r="Q16" s="10">
        <v>1.522</v>
      </c>
      <c r="R16" s="9">
        <v>6.909147776539081</v>
      </c>
    </row>
    <row r="17" spans="2:18" x14ac:dyDescent="0.3">
      <c r="B17" s="1">
        <v>45184</v>
      </c>
      <c r="C17" s="3">
        <v>38.74</v>
      </c>
      <c r="D17" s="6">
        <f>Poraba[[#This Row],[Litri]]*INDEX(Table3[Bencin],MATCH(Poraba[[#This Row],[Datum]],Table3[Veljavnost],1))</f>
        <v>60.085740000000001</v>
      </c>
      <c r="E17" s="2">
        <v>50012</v>
      </c>
      <c r="F17" s="2">
        <f>-E16+Poraba[[#This Row],[Števec]]</f>
        <v>532</v>
      </c>
      <c r="G17" s="3">
        <f>Poraba[[#This Row],[Litri]]/Poraba[[#This Row],[Prevoženo]]*100</f>
        <v>7.2819548872180455</v>
      </c>
      <c r="H17" s="11">
        <f>Poraba[[#This Row],[Poraba]]</f>
        <v>7.2819548872180455</v>
      </c>
      <c r="J17" s="1">
        <v>45125</v>
      </c>
      <c r="K17" s="4">
        <v>1.456</v>
      </c>
      <c r="M17" s="8" t="s">
        <v>12</v>
      </c>
      <c r="N17" s="4">
        <v>1.3859999999999999</v>
      </c>
      <c r="P17" t="s">
        <v>16</v>
      </c>
      <c r="Q17" s="10">
        <v>1.5695000000000001</v>
      </c>
      <c r="R17" s="9">
        <v>7.5451560100243888</v>
      </c>
    </row>
    <row r="18" spans="2:18" x14ac:dyDescent="0.3">
      <c r="B18" s="1">
        <v>45191</v>
      </c>
      <c r="C18" s="3">
        <v>36.130000000000003</v>
      </c>
      <c r="D18" s="6">
        <f>Poraba[[#This Row],[Litri]]*INDEX(Table3[Bencin],MATCH(Poraba[[#This Row],[Datum]],Table3[Veljavnost],1))</f>
        <v>56.03763</v>
      </c>
      <c r="E18" s="2">
        <v>50458</v>
      </c>
      <c r="F18" s="2">
        <f>-E17+Poraba[[#This Row],[Števec]]</f>
        <v>446</v>
      </c>
      <c r="G18" s="3">
        <f>Poraba[[#This Row],[Litri]]/Poraba[[#This Row],[Prevoženo]]*100</f>
        <v>8.1008968609865484</v>
      </c>
      <c r="H18" s="11">
        <f>Poraba[[#This Row],[Poraba]]</f>
        <v>8.1008968609865484</v>
      </c>
      <c r="J18" s="1">
        <v>45139</v>
      </c>
      <c r="K18" s="4">
        <v>1.5109999999999999</v>
      </c>
      <c r="M18" s="8" t="s">
        <v>13</v>
      </c>
      <c r="N18" s="4">
        <v>1.4179999999999999</v>
      </c>
      <c r="P18" t="s">
        <v>17</v>
      </c>
      <c r="Q18" s="10">
        <v>1.536</v>
      </c>
      <c r="R18" s="9">
        <v>6.8048158511080841</v>
      </c>
    </row>
    <row r="19" spans="2:18" x14ac:dyDescent="0.3">
      <c r="B19" s="1">
        <v>45198</v>
      </c>
      <c r="C19" s="3">
        <v>38.51</v>
      </c>
      <c r="D19" s="6">
        <f>Poraba[[#This Row],[Litri]]*INDEX(Table3[Bencin],MATCH(Poraba[[#This Row],[Datum]],Table3[Veljavnost],1))</f>
        <v>61.153880000000001</v>
      </c>
      <c r="E19" s="2">
        <v>50991</v>
      </c>
      <c r="F19" s="2">
        <f>-E18+Poraba[[#This Row],[Števec]]</f>
        <v>533</v>
      </c>
      <c r="G19" s="3">
        <f>Poraba[[#This Row],[Litri]]/Poraba[[#This Row],[Prevoženo]]*100</f>
        <v>7.2251407129455911</v>
      </c>
      <c r="H19" s="11">
        <f>Poraba[[#This Row],[Poraba]]</f>
        <v>7.2251407129455911</v>
      </c>
      <c r="J19" s="1">
        <v>45155</v>
      </c>
      <c r="K19" s="4">
        <v>1.5109999999999999</v>
      </c>
      <c r="M19" s="8" t="s">
        <v>14</v>
      </c>
      <c r="N19" s="4">
        <v>1.45</v>
      </c>
      <c r="P19" t="s">
        <v>26</v>
      </c>
      <c r="Q19" s="10">
        <v>1.534</v>
      </c>
      <c r="R19" s="9">
        <v>6.9701582884689435</v>
      </c>
    </row>
    <row r="20" spans="2:18" x14ac:dyDescent="0.3">
      <c r="B20" s="1">
        <v>45205</v>
      </c>
      <c r="C20" s="3">
        <v>38.840000000000003</v>
      </c>
      <c r="D20" s="6">
        <f>Poraba[[#This Row],[Litri]]*INDEX(Table3[Bencin],MATCH(Poraba[[#This Row],[Datum]],Table3[Veljavnost],1))</f>
        <v>61.677920000000007</v>
      </c>
      <c r="E20" s="2">
        <v>51593</v>
      </c>
      <c r="F20" s="2">
        <f>-E19+Poraba[[#This Row],[Števec]]</f>
        <v>602</v>
      </c>
      <c r="G20" s="3">
        <f>Poraba[[#This Row],[Litri]]/Poraba[[#This Row],[Prevoženo]]*100</f>
        <v>6.4518272425249172</v>
      </c>
      <c r="H20" s="11">
        <f>Poraba[[#This Row],[Poraba]]</f>
        <v>6.4518272425249172</v>
      </c>
      <c r="J20" s="1">
        <v>45167</v>
      </c>
      <c r="K20" s="4">
        <v>1.544</v>
      </c>
      <c r="M20" s="8" t="s">
        <v>15</v>
      </c>
      <c r="N20" s="4">
        <v>1.522</v>
      </c>
    </row>
    <row r="21" spans="2:18" x14ac:dyDescent="0.3">
      <c r="B21" s="1">
        <v>45213</v>
      </c>
      <c r="C21" s="3">
        <v>41.73</v>
      </c>
      <c r="D21" s="6">
        <f>Poraba[[#This Row],[Litri]]*INDEX(Table3[Bencin],MATCH(Poraba[[#This Row],[Datum]],Table3[Veljavnost],1))</f>
        <v>64.097279999999998</v>
      </c>
      <c r="E21" s="2">
        <v>52176</v>
      </c>
      <c r="F21" s="2">
        <f>-E20+Poraba[[#This Row],[Števec]]</f>
        <v>583</v>
      </c>
      <c r="G21" s="3">
        <f>Poraba[[#This Row],[Litri]]/Poraba[[#This Row],[Prevoženo]]*100</f>
        <v>7.1578044596912509</v>
      </c>
      <c r="H21" s="11">
        <f>Poraba[[#This Row],[Poraba]]</f>
        <v>7.1578044596912509</v>
      </c>
      <c r="J21" s="1">
        <v>45181</v>
      </c>
      <c r="K21" s="4">
        <v>1.5509999999999999</v>
      </c>
      <c r="M21" s="8" t="s">
        <v>16</v>
      </c>
      <c r="N21" s="4">
        <v>1.5695000000000001</v>
      </c>
    </row>
    <row r="22" spans="2:18" x14ac:dyDescent="0.3">
      <c r="J22" s="1">
        <v>45195</v>
      </c>
      <c r="K22" s="4">
        <v>1.5880000000000001</v>
      </c>
      <c r="M22" s="8" t="s">
        <v>17</v>
      </c>
      <c r="N22" s="4">
        <v>1.536</v>
      </c>
    </row>
    <row r="23" spans="2:18" x14ac:dyDescent="0.3">
      <c r="J23" s="1">
        <v>45209</v>
      </c>
      <c r="K23" s="4">
        <v>1.536</v>
      </c>
      <c r="M23" s="8" t="s">
        <v>26</v>
      </c>
      <c r="N23" s="4">
        <v>1.534</v>
      </c>
    </row>
    <row r="24" spans="2:18" x14ac:dyDescent="0.3">
      <c r="J24" s="1">
        <v>45223</v>
      </c>
      <c r="K24" s="4">
        <v>1.536</v>
      </c>
      <c r="M24" s="8" t="s">
        <v>11</v>
      </c>
      <c r="N24" s="4">
        <v>1.4361739130434785</v>
      </c>
    </row>
    <row r="25" spans="2:18" x14ac:dyDescent="0.3">
      <c r="J25" s="1">
        <v>45237</v>
      </c>
      <c r="K25" s="4">
        <v>1.534</v>
      </c>
    </row>
    <row r="26" spans="2:18" x14ac:dyDescent="0.3">
      <c r="D26" s="5"/>
      <c r="E26" s="5"/>
    </row>
    <row r="27" spans="2:18" x14ac:dyDescent="0.3">
      <c r="D27" s="5"/>
      <c r="E27" s="5"/>
    </row>
    <row r="28" spans="2:18" x14ac:dyDescent="0.3">
      <c r="D28" s="5"/>
      <c r="E28" s="5"/>
    </row>
    <row r="29" spans="2:18" x14ac:dyDescent="0.3">
      <c r="D29" s="5"/>
      <c r="E29" s="5"/>
    </row>
    <row r="31" spans="2:18" x14ac:dyDescent="0.3">
      <c r="H31" s="11"/>
    </row>
    <row r="32" spans="2:18" x14ac:dyDescent="0.3">
      <c r="H32" s="11"/>
    </row>
    <row r="33" spans="8:8" x14ac:dyDescent="0.3">
      <c r="H33" s="11"/>
    </row>
    <row r="34" spans="8:8" x14ac:dyDescent="0.3">
      <c r="H34" s="11"/>
    </row>
  </sheetData>
  <phoneticPr fontId="3" type="noConversion"/>
  <conditionalFormatting sqref="H3:H2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{22F7B652-1F1E-47EF-9184-7EB3C28CE7C0}</x14:id>
        </ext>
      </extLst>
    </cfRule>
  </conditionalFormatting>
  <conditionalFormatting sqref="H4:H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{B0EF7DFD-C2DB-414D-B6C6-92CD06233511}</x14:id>
        </ext>
      </extLst>
    </cfRule>
  </conditionalFormatting>
  <pageMargins left="0.7" right="0.7" top="0.75" bottom="0.75" header="0.3" footer="0.3"/>
  <drawing r:id="rId3"/>
  <tableParts count="2"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F7B652-1F1E-47EF-9184-7EB3C28CE7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H3:H21</xm:sqref>
        </x14:conditionalFormatting>
        <x14:conditionalFormatting xmlns:xm="http://schemas.microsoft.com/office/excel/2006/main">
          <x14:cfRule type="dataBar" id="{B0EF7DFD-C2DB-414D-B6C6-92CD06233511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H4:H21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D2D7D3-3902-A54A-97D2-DC6D0F0B49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Poraba</vt:lpstr>
    </vt:vector>
  </TitlesOfParts>
  <Company>FMF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Matjaž Zaveršnik</dc:creator>
  <cp:lastModifiedBy>Andraž Matoš</cp:lastModifiedBy>
  <dcterms:created xsi:type="dcterms:W3CDTF">2007-10-01T06:54:22Z</dcterms:created>
  <dcterms:modified xsi:type="dcterms:W3CDTF">2025-12-05T21:31:36Z</dcterms:modified>
</cp:coreProperties>
</file>