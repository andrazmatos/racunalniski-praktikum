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861089a84a8306/Dokumenti/FMF/racunalniski-praktikum/10-razpredelnice/"/>
    </mc:Choice>
  </mc:AlternateContent>
  <xr:revisionPtr revIDLastSave="87" documentId="13_ncr:1_{30CFF31F-8871-2C47-ABE9-A8148D29A681}" xr6:coauthVersionLast="47" xr6:coauthVersionMax="47" xr10:uidLastSave="{A99D7DD9-A578-4C15-9287-C42C43032B6E}"/>
  <bookViews>
    <workbookView xWindow="-108" yWindow="-108" windowWidth="23256" windowHeight="12456" activeTab="1" xr2:uid="{00000000-000D-0000-FFFF-FFFF00000000}"/>
  </bookViews>
  <sheets>
    <sheet name="Sheet2" sheetId="3" r:id="rId1"/>
    <sheet name="Rezultati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<sst xmlns="http://schemas.openxmlformats.org/spreadsheetml/2006/main" count="105" uniqueCount="72">
  <si>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</si>
  <si>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</si>
  <si>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</si>
  <si>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</si>
  <si>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</si>
  <si>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</si>
  <si>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</si>
  <si>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</si>
  <si>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</si>
  <si>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</si>
  <si>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</si>
  <si>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</si>
  <si>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</si>
  <si>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</si>
  <si>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</si>
  <si>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</si>
  <si>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</si>
  <si>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</si>
  <si>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</si>
  <si>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</si>
  <si>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</si>
  <si>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</si>
  <si>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</si>
  <si>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</si>
  <si>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</si>
  <si>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</si>
  <si>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</si>
  <si>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</si>
  <si>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</si>
  <si>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</si>
  <si>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</si>
  <si>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</si>
  <si>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</si>
  <si>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</si>
  <si>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</si>
  <si>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</si>
  <si>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</si>
  <si>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</si>
  <si>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</si>
  <si>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</si>
  <si>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</si>
  <si>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</si>
  <si>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</si>
  <si>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</si>
  <si>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</si>
  <si>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</si>
  <si>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</si>
  <si>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</si>
  <si>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</si>
  <si>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</si>
  <si>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</si>
  <si>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</si>
  <si>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</si>
  <si>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</si>
  <si>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</si>
  <si>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</si>
  <si>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</si>
  <si>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</si>
  <si>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</si>
  <si>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</si>
  <si>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</si>
  <si>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</si>
  <si>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</si>
  <si>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</si>
  <si>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</si>
  <si>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</si>
  <si>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Grand Total</t>
  </si>
  <si>
    <t>Row Labels</t>
  </si>
  <si>
    <t>Count of Točke</t>
  </si>
  <si>
    <t>Average of Točke</t>
  </si>
  <si>
    <t>Max. of Točke2</t>
  </si>
  <si>
    <t>Min. of Točke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</si>
</sst>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0" formatCode="General"/>
    </dxf>
    <dxf>
      <font>
        <color rgb="FFFF0000"/>
      </font>
      <numFmt numFmtId="0" formatCode="General"/>
    </dxf>
    <dxf>
      <font>
        <b/>
        <i val="0"/>
      </font>
    </dxf>
    <dxf>
      <font>
        <color rgb="FFFF0000"/>
      </font>
      <numFmt numFmtId="0" formatCode="General"/>
    </dxf>
    <dxf>
      <font>
        <b/>
        <i val="0"/>
      </font>
    </dxf>
    <dxf>
      <font>
        <color rgb="FFFF0000"/>
      </font>
      <numFmt numFmtId="0" formatCode="General"/>
    </dxf>
    <dxf>
      <font>
        <color rgb="FFFF0000"/>
      </font>
      <numFmt numFmtId="0" formatCode="General"/>
    </dxf>
    <dxf>
      <font>
        <color rgb="FFFF0000"/>
      </font>
      <numFmt numFmtId="0" formatCode="General"/>
    </dxf>
    <dxf>
      <font>
        <color rgb="FFFF0000"/>
      </font>
      <numFmt numFmtId="0" formatCode="General"/>
    </dxf>
    <dxf>
      <font>
        <color rgb="FFFF0000"/>
      </font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view3D>
      <c:rotX val="30"/>
      <c:rotY val="28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E5F-4EA2-A66D-8FF112100C59}"/>
              </c:ext>
            </c:extLst>
          </c:dPt>
          <c:dPt>
            <c:idx val="1"/>
            <c:bubble3D val="0"/>
            <c:explosion val="29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5F-4EA2-A66D-8FF112100C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E5F-4EA2-A66D-8FF112100C59}"/>
              </c:ext>
            </c:extLst>
          </c:dPt>
          <c:dLbls>
            <c:dLbl>
              <c:idx val="0"/>
              <c:layout>
                <c:manualLayout>
                  <c:x val="7.2025153105861772E-2"/>
                  <c:y val="-1.91203703703703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5F-4EA2-A66D-8FF112100C59}"/>
                </c:ext>
              </c:extLst>
            </c:dLbl>
            <c:dLbl>
              <c:idx val="1"/>
              <c:layout>
                <c:manualLayout>
                  <c:x val="7.9693788276466466E-3"/>
                  <c:y val="-8.133566637503645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5F-4EA2-A66D-8FF112100C59}"/>
                </c:ext>
              </c:extLst>
            </c:dLbl>
            <c:dLbl>
              <c:idx val="2"/>
              <c:layout>
                <c:manualLayout>
                  <c:x val="-1.9201224846894138E-2"/>
                  <c:y val="-6.99256342957130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5F-4EA2-A66D-8FF112100C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F-4EA2-A66D-8FF112100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A-4B4D-B2AB-0E13D0B42846}"/>
            </c:ext>
          </c:extLst>
        </c:ser>
        <c:ser>
          <c:idx val="2"/>
          <c:order val="2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3A-4B4D-B2AB-0E13D0B42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26319"/>
        <c:axId val="1218335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'Rezultati'!$I$2</c15:sqref>
                        </c15:formulaRef>
                      </c:ext>
                    </c:extLst>
                    <c:strCache>
                      <c:ptCount val="1"/>
                      <c:pt idx="0">
                        <c:v>Udeležba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'Rezultati'!$H$3:$H$5</c15:sqref>
                        </c15:formulaRef>
                      </c:ext>
                    </c:extLst>
                    <c:strCache>
                      <c:ptCount val="3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'Rezultati'!$I$3:$I$5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</c:v>
                      </c:pt>
                      <c:pt idx="1">
                        <c:v>12</c:v>
                      </c:pt>
                      <c:pt idx="2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13A-4B4D-B2AB-0E13D0B42846}"/>
                  </c:ext>
                </c:extLst>
              </c15:ser>
            </c15:filteredBarSeries>
          </c:ext>
        </c:extLst>
      </c:barChart>
      <c:catAx>
        <c:axId val="12182631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21833519"/>
        <c:crosses val="autoZero"/>
        <c:auto val="1"/>
        <c:lblAlgn val="ctr"/>
        <c:lblOffset val="100"/>
        <c:noMultiLvlLbl val="0"/>
      </c:catAx>
      <c:valAx>
        <c:axId val="12183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2182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236220</xdr:colOff>
      <xdr:row>6</xdr:row>
      <xdr:rowOff>41910</xdr:rowOff>
    </xdr:from>
    <xdr:to>
      <xdr:col>15</xdr:col>
      <xdr:colOff>419100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328B8-A779-128A-DD01-71C70704F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22</xdr:row>
      <xdr:rowOff>57150</xdr:rowOff>
    </xdr:from>
    <xdr:to>
      <xdr:col>15</xdr:col>
      <xdr:colOff>449580</xdr:colOff>
      <xdr:row>37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54715A-0853-3532-3DD0-19C51FEE5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až Matoš" refreshedDate="45996.850370138891" createdVersion="8" refreshedVersion="8" minRefreshableVersion="3" recordCount="28" xr:uid="{501379AF-714E-4A3B-8703-31B44ED1C81D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 count="25">
        <n v="38"/>
        <n v="39"/>
        <n v="36"/>
        <n v="93"/>
        <n v="77"/>
        <n v="100"/>
        <n v="94"/>
        <n v="26"/>
        <n v="44"/>
        <n v="34"/>
        <n v="86"/>
        <n v="90"/>
        <n v="67"/>
        <n v="42"/>
        <n v="64"/>
        <n v="30"/>
        <n v="57"/>
        <n v="43"/>
        <n v="85"/>
        <n v="76"/>
        <n v="79"/>
        <n v="70"/>
        <n v="66"/>
        <n v="58"/>
        <n v="46"/>
      </sharedItems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x v="0"/>
    <s v="ne"/>
  </r>
  <r>
    <s v="Cvelbar"/>
    <s v="Janja"/>
    <x v="0"/>
    <x v="1"/>
    <s v="ne"/>
  </r>
  <r>
    <s v="Furlan"/>
    <s v="Aleš"/>
    <x v="0"/>
    <x v="2"/>
    <s v="ne"/>
  </r>
  <r>
    <s v="Furlan"/>
    <s v="Luka"/>
    <x v="1"/>
    <x v="3"/>
    <s v="da"/>
  </r>
  <r>
    <s v="Iskra"/>
    <s v="Sabina"/>
    <x v="1"/>
    <x v="4"/>
    <s v="da"/>
  </r>
  <r>
    <s v="Jerman"/>
    <s v="Katja"/>
    <x v="0"/>
    <x v="5"/>
    <s v="da"/>
  </r>
  <r>
    <s v="Karakaš"/>
    <s v="Alenka"/>
    <x v="1"/>
    <x v="6"/>
    <s v="da"/>
  </r>
  <r>
    <s v="Karničar"/>
    <s v="Jaka"/>
    <x v="2"/>
    <x v="7"/>
    <s v="ne"/>
  </r>
  <r>
    <s v="Kočar"/>
    <s v="Petra"/>
    <x v="0"/>
    <x v="8"/>
    <s v="ne"/>
  </r>
  <r>
    <s v="Kofol"/>
    <s v="Andraž"/>
    <x v="2"/>
    <x v="9"/>
    <s v="ne"/>
  </r>
  <r>
    <s v="Korošec"/>
    <s v="Kristina"/>
    <x v="0"/>
    <x v="10"/>
    <s v="da"/>
  </r>
  <r>
    <s v="Kržišnik"/>
    <s v="Grega"/>
    <x v="0"/>
    <x v="11"/>
    <s v="da"/>
  </r>
  <r>
    <s v="Kumar"/>
    <s v="Barbara"/>
    <x v="0"/>
    <x v="12"/>
    <s v="da"/>
  </r>
  <r>
    <s v="Logar"/>
    <s v="Mateja"/>
    <x v="1"/>
    <x v="13"/>
    <s v="ne"/>
  </r>
  <r>
    <s v="Obrenović"/>
    <s v="Tatjana"/>
    <x v="2"/>
    <x v="8"/>
    <s v="ne"/>
  </r>
  <r>
    <s v="Pance"/>
    <s v="Martin"/>
    <x v="0"/>
    <x v="14"/>
    <s v="da"/>
  </r>
  <r>
    <s v="Pleterski"/>
    <s v="Vesna"/>
    <x v="2"/>
    <x v="15"/>
    <s v="ne"/>
  </r>
  <r>
    <s v="Puncer"/>
    <s v="Primož"/>
    <x v="1"/>
    <x v="16"/>
    <s v="da"/>
  </r>
  <r>
    <s v="Ribnikar"/>
    <s v="Matjaž"/>
    <x v="1"/>
    <x v="17"/>
    <s v="ne"/>
  </r>
  <r>
    <s v="Smrekar"/>
    <s v="Andreja"/>
    <x v="1"/>
    <x v="0"/>
    <s v="ne"/>
  </r>
  <r>
    <s v="Štemberger"/>
    <s v="Igor"/>
    <x v="0"/>
    <x v="18"/>
    <s v="da"/>
  </r>
  <r>
    <s v="Šubašič"/>
    <s v="Matej"/>
    <x v="2"/>
    <x v="19"/>
    <s v="da"/>
  </r>
  <r>
    <s v="Tekavčič"/>
    <s v="Aleksander"/>
    <x v="1"/>
    <x v="9"/>
    <s v="ne"/>
  </r>
  <r>
    <s v="Tratnik"/>
    <s v="Mojca"/>
    <x v="0"/>
    <x v="20"/>
    <s v="da"/>
  </r>
  <r>
    <s v="Trček"/>
    <s v="Valerija"/>
    <x v="0"/>
    <x v="21"/>
    <s v="da"/>
  </r>
  <r>
    <s v="Vesel"/>
    <s v="Polona"/>
    <x v="2"/>
    <x v="22"/>
    <s v="da"/>
  </r>
  <r>
    <s v="Virant"/>
    <s v="Primož"/>
    <x v="2"/>
    <x v="23"/>
    <s v="da"/>
  </r>
  <r>
    <s v="Žveglič"/>
    <s v="Katarina"/>
    <x v="1"/>
    <x v="24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040B1-E90D-4782-B234-234E181D96A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>
      <items count="26">
        <item x="7"/>
        <item x="15"/>
        <item x="9"/>
        <item x="2"/>
        <item x="0"/>
        <item x="1"/>
        <item x="13"/>
        <item x="17"/>
        <item x="8"/>
        <item x="24"/>
        <item x="16"/>
        <item x="23"/>
        <item x="14"/>
        <item x="22"/>
        <item x="12"/>
        <item x="21"/>
        <item x="19"/>
        <item x="4"/>
        <item x="20"/>
        <item x="18"/>
        <item x="10"/>
        <item x="11"/>
        <item x="3"/>
        <item x="6"/>
        <item x="5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očke" fld="3" subtotal="count" baseField="2" baseItem="0"/>
    <dataField name="Average of Točke" fld="3" subtotal="average" baseField="2" baseItem="0"/>
    <dataField name="Max. of Točke2" fld="3" subtotal="max" baseField="2" baseItem="0"/>
    <dataField name="Min. of Točke" fld="3" subtotal="min" baseField="2" baseItem="0"/>
  </dataFields>
  <formats count="1">
    <format dxfId="11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Row],[Točke]]&gt;=50,"da","ne")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13">
      <calculatedColumnFormula>COUNTIF(Rezultati[Skupina],Skupine[[#This Row],[Test]])</calculatedColumnFormula>
    </tableColumn>
    <tableColumn id="3" xr3:uid="{49F9352C-9597-4E44-8122-AF1CE6CE856F}" name="2022" dataDxfId="12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473D-3F55-4F65-AD59-0E202D527178}">
  <dimension ref="A3:E7"/>
  <sheetViews>
    <sheetView workbookViewId="0">
      <selection activeCell="P5" sqref="P5"/>
    </sheetView>
  </sheetViews>
  <sheetFormatPr defaultRowHeight="14.4" x14ac:dyDescent="0.3"/>
  <cols>
    <col min="1" max="1" width="12.5546875" bestFit="1" customWidth="1"/>
    <col min="2" max="2" width="13.88671875" bestFit="1" customWidth="1"/>
    <col min="3" max="3" width="15.6640625" bestFit="1" customWidth="1"/>
    <col min="4" max="4" width="14" bestFit="1" customWidth="1"/>
    <col min="5" max="5" width="12.5546875" bestFit="1" customWidth="1"/>
    <col min="6" max="25" width="3" bestFit="1" customWidth="1"/>
    <col min="26" max="26" width="4" bestFit="1" customWidth="1"/>
    <col min="27" max="27" width="10.77734375" bestFit="1" customWidth="1"/>
  </cols>
  <sheetData>
    <row r="3" spans="1:5" x14ac:dyDescent="0.3">
      <c r="A3" s="2" t="s">
        <v>67</v>
      </c>
      <c r="B3" t="s">
        <v>68</v>
      </c>
      <c r="C3" t="s">
        <v>69</v>
      </c>
      <c r="D3" t="s">
        <v>70</v>
      </c>
      <c r="E3" t="s">
        <v>71</v>
      </c>
    </row>
    <row r="4" spans="1:5" x14ac:dyDescent="0.3">
      <c r="A4" s="3" t="s">
        <v>9</v>
      </c>
      <c r="B4" s="4">
        <v>9</v>
      </c>
      <c r="C4" s="1">
        <v>58.222222222222221</v>
      </c>
      <c r="D4" s="4">
        <v>94</v>
      </c>
      <c r="E4" s="4">
        <v>34</v>
      </c>
    </row>
    <row r="5" spans="1:5" x14ac:dyDescent="0.3">
      <c r="A5" s="3" t="s">
        <v>12</v>
      </c>
      <c r="B5" s="4">
        <v>12</v>
      </c>
      <c r="C5" s="1">
        <v>66.5</v>
      </c>
      <c r="D5" s="4">
        <v>100</v>
      </c>
      <c r="E5" s="4">
        <v>36</v>
      </c>
    </row>
    <row r="6" spans="1:5" x14ac:dyDescent="0.3">
      <c r="A6" s="3" t="s">
        <v>15</v>
      </c>
      <c r="B6" s="4">
        <v>7</v>
      </c>
      <c r="C6" s="1">
        <v>47.714285714285715</v>
      </c>
      <c r="D6" s="4">
        <v>76</v>
      </c>
      <c r="E6" s="4">
        <v>26</v>
      </c>
    </row>
    <row r="7" spans="1:5" x14ac:dyDescent="0.3">
      <c r="A7" s="3" t="s">
        <v>66</v>
      </c>
      <c r="B7" s="4">
        <v>28</v>
      </c>
      <c r="C7" s="4">
        <v>59.142857142857146</v>
      </c>
      <c r="D7" s="4">
        <v>100</v>
      </c>
      <c r="E7" s="4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0"/>
  <sheetViews>
    <sheetView tabSelected="1" topLeftCell="A10" workbookViewId="0">
      <selection activeCell="H9" sqref="H9"/>
    </sheetView>
  </sheetViews>
  <sheetFormatPr defaultColWidth="8.77734375" defaultRowHeight="14.4" x14ac:dyDescent="0.3"/>
  <cols>
    <col min="1" max="1" width="4.44140625" customWidth="1"/>
    <col min="2" max="2" width="10" bestFit="1" customWidth="1"/>
    <col min="3" max="3" width="9.33203125" bestFit="1" customWidth="1"/>
    <col min="4" max="4" width="9.6640625" bestFit="1" customWidth="1"/>
    <col min="5" max="5" width="8.109375" bestFit="1" customWidth="1"/>
    <col min="6" max="6" width="9.109375" bestFit="1" customWidth="1"/>
    <col min="7" max="7" width="9.109375" customWidth="1"/>
    <col min="8" max="8" width="6.77734375" bestFit="1" customWidth="1"/>
    <col min="9" max="9" width="10.77734375" bestFit="1" customWidth="1"/>
    <col min="10" max="10" width="11.5546875" bestFit="1" customWidth="1"/>
    <col min="11" max="12" width="7.6640625" bestFit="1" customWidth="1"/>
  </cols>
  <sheetData>
    <row r="2" spans="2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1" x14ac:dyDescent="0.3">
      <c r="B3" t="s">
        <v>62</v>
      </c>
      <c r="C3" t="s">
        <v>63</v>
      </c>
      <c r="D3" t="s">
        <v>12</v>
      </c>
      <c r="E3">
        <v>38</v>
      </c>
      <c r="F3" t="str">
        <f>IF(Rezultati[[#This Row],[Točke]]&gt;=50,"da","ne")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1" x14ac:dyDescent="0.3">
      <c r="B4" t="s">
        <v>34</v>
      </c>
      <c r="C4" t="s">
        <v>35</v>
      </c>
      <c r="D4" t="s">
        <v>12</v>
      </c>
      <c r="E4">
        <v>39</v>
      </c>
      <c r="F4" t="str">
        <f>IF(Rezultati[[#This Row],[Točke]]&gt;=50,"da","ne")</f>
        <v>ne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1" x14ac:dyDescent="0.3">
      <c r="B5" t="s">
        <v>7</v>
      </c>
      <c r="C5" t="s">
        <v>36</v>
      </c>
      <c r="D5" t="s">
        <v>12</v>
      </c>
      <c r="E5">
        <v>36</v>
      </c>
      <c r="F5" t="str">
        <f>IF(Rezultati[[#This Row],[Točke]]&gt;=50,"da","ne")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1" x14ac:dyDescent="0.3">
      <c r="B6" t="s">
        <v>7</v>
      </c>
      <c r="C6" t="s">
        <v>8</v>
      </c>
      <c r="D6" t="s">
        <v>9</v>
      </c>
      <c r="E6">
        <v>93</v>
      </c>
      <c r="F6" t="str">
        <f>IF(Rezultati[[#This Row],[Točke]]&gt;=50,"da","ne")</f>
        <v>da</v>
      </c>
    </row>
    <row r="7" spans="2:11" x14ac:dyDescent="0.3">
      <c r="B7" t="s">
        <v>37</v>
      </c>
      <c r="C7" t="s">
        <v>38</v>
      </c>
      <c r="D7" t="s">
        <v>9</v>
      </c>
      <c r="E7">
        <v>77</v>
      </c>
      <c r="F7" t="str">
        <f>IF(Rezultati[[#This Row],[Točke]]&gt;=50,"da","ne")</f>
        <v>da</v>
      </c>
    </row>
    <row r="8" spans="2:11" x14ac:dyDescent="0.3">
      <c r="B8" t="s">
        <v>39</v>
      </c>
      <c r="C8" t="s">
        <v>40</v>
      </c>
      <c r="D8" t="s">
        <v>12</v>
      </c>
      <c r="E8">
        <v>100</v>
      </c>
      <c r="F8" t="str">
        <f>IF(Rezultati[[#This Row],[Točke]]&gt;=50,"da","ne")</f>
        <v>da</v>
      </c>
    </row>
    <row r="9" spans="2:11" x14ac:dyDescent="0.3">
      <c r="B9" t="s">
        <v>10</v>
      </c>
      <c r="C9" t="s">
        <v>11</v>
      </c>
      <c r="D9" t="s">
        <v>9</v>
      </c>
      <c r="E9">
        <v>94</v>
      </c>
      <c r="F9" t="str">
        <f>IF(Rezultati[[#This Row],[Točke]]&gt;=50,"da","ne")</f>
        <v>da</v>
      </c>
    </row>
    <row r="10" spans="2:11" x14ac:dyDescent="0.3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Row],[Točke]]&gt;=50,"da","ne")</f>
        <v>ne</v>
      </c>
    </row>
    <row r="11" spans="2:11" x14ac:dyDescent="0.3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Row],[Točke]]&gt;=50,"da","ne")</f>
        <v>ne</v>
      </c>
    </row>
    <row r="12" spans="2:11" x14ac:dyDescent="0.3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Row],[Točke]]&gt;=50,"da","ne")</f>
        <v>ne</v>
      </c>
    </row>
    <row r="13" spans="2:11" x14ac:dyDescent="0.3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Row],[Točke]]&gt;=50,"da","ne")</f>
        <v>da</v>
      </c>
    </row>
    <row r="14" spans="2:11" x14ac:dyDescent="0.3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Row],[Točke]]&gt;=50,"da","ne")</f>
        <v>da</v>
      </c>
    </row>
    <row r="15" spans="2:11" x14ac:dyDescent="0.3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Row],[Točke]]&gt;=50,"da","ne")</f>
        <v>da</v>
      </c>
    </row>
    <row r="16" spans="2:11" x14ac:dyDescent="0.3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Row],[Točke]]&gt;=50,"da","ne")</f>
        <v>ne</v>
      </c>
    </row>
    <row r="17" spans="2:6" x14ac:dyDescent="0.3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Row],[Točke]]&gt;=50,"da","ne")</f>
        <v>ne</v>
      </c>
    </row>
    <row r="18" spans="2:6" x14ac:dyDescent="0.3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Row],[Točke]]&gt;=50,"da","ne")</f>
        <v>da</v>
      </c>
    </row>
    <row r="19" spans="2:6" x14ac:dyDescent="0.3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Row],[Točke]]&gt;=50,"da","ne")</f>
        <v>ne</v>
      </c>
    </row>
    <row r="20" spans="2:6" x14ac:dyDescent="0.3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Row],[Točke]]&gt;=50,"da","ne")</f>
        <v>da</v>
      </c>
    </row>
    <row r="21" spans="2:6" x14ac:dyDescent="0.3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Row],[Točke]]&gt;=50,"da","ne")</f>
        <v>ne</v>
      </c>
    </row>
    <row r="22" spans="2:6" x14ac:dyDescent="0.3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Row],[Točke]]&gt;=50,"da","ne")</f>
        <v>ne</v>
      </c>
    </row>
    <row r="23" spans="2:6" x14ac:dyDescent="0.3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Row],[Točke]]&gt;=50,"da","ne")</f>
        <v>da</v>
      </c>
    </row>
    <row r="24" spans="2:6" x14ac:dyDescent="0.3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Row],[Točke]]&gt;=50,"da","ne")</f>
        <v>da</v>
      </c>
    </row>
    <row r="25" spans="2:6" x14ac:dyDescent="0.3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Row],[Točke]]&gt;=50,"da","ne")</f>
        <v>ne</v>
      </c>
    </row>
    <row r="26" spans="2:6" x14ac:dyDescent="0.3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Row],[Točke]]&gt;=50,"da","ne")</f>
        <v>da</v>
      </c>
    </row>
    <row r="27" spans="2:6" x14ac:dyDescent="0.3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Row],[Točke]]&gt;=50,"da","ne")</f>
        <v>da</v>
      </c>
    </row>
    <row r="28" spans="2:6" x14ac:dyDescent="0.3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Row],[Točke]]&gt;=50,"da","ne")</f>
        <v>da</v>
      </c>
    </row>
    <row r="29" spans="2:6" x14ac:dyDescent="0.3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Row],[Točke]]&gt;=50,"da","ne")</f>
        <v>da</v>
      </c>
    </row>
    <row r="30" spans="2:6" x14ac:dyDescent="0.3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Row],[Točke]]&gt;=50,"da","ne")</f>
        <v>ne</v>
      </c>
    </row>
  </sheetData>
  <conditionalFormatting sqref="E1:E2 E31:E1048576">
    <cfRule type="expression" priority="5">
      <formula>"$E3&lt;50"</formula>
    </cfRule>
  </conditionalFormatting>
  <conditionalFormatting sqref="H15">
    <cfRule type="expression" dxfId="2" priority="4">
      <formula>"$E3&lt;50"</formula>
    </cfRule>
  </conditionalFormatting>
  <conditionalFormatting sqref="E3:E30">
    <cfRule type="colorScale" priority="2">
      <colorScale>
        <cfvo type="min"/>
        <cfvo type="max"/>
        <color rgb="FFFF7128"/>
        <color rgb="FFFFEF9C"/>
      </colorScale>
    </cfRule>
  </conditionalFormatting>
  <conditionalFormatting sqref="E2">
    <cfRule type="top10" dxfId="0" priority="1" percent="1" rank="10"/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Andraž Matoš</cp:lastModifiedBy>
  <dcterms:created xsi:type="dcterms:W3CDTF">2007-11-10T02:36:44Z</dcterms:created>
  <dcterms:modified xsi:type="dcterms:W3CDTF">2025-12-05T19:53:04Z</dcterms:modified>
</cp:coreProperties>
</file>