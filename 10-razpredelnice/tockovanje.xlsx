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861089a84a8306/Dokumenti/FMF/racunalniski-praktikum/10-razpredelnice/"/>
    </mc:Choice>
  </mc:AlternateContent>
  <xr:revisionPtr revIDLastSave="106" documentId="13_ncr:1_{6D4BC39C-E016-7A44-8583-BE6404D1B41E}" xr6:coauthVersionLast="47" xr6:coauthVersionMax="47" xr10:uidLastSave="{EEA0B588-9997-4BD1-AFFD-0BF260EA79D5}"/>
  <bookViews>
    <workbookView xWindow="-108" yWindow="-108" windowWidth="23256" windowHeight="12456" xr2:uid="{00000000-000D-0000-FFFF-FFFF00000000}"/>
  </bookViews>
  <sheets>
    <sheet name="Točkova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C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E45" i="1"/>
  <c r="F43" i="1" a="1"/>
  <c r="F43" i="1" s="1"/>
  <c r="G43" i="1" a="1"/>
  <c r="G43" i="1"/>
  <c r="H43" i="1" a="1"/>
  <c r="H43" i="1" s="1"/>
  <c r="I43" i="1" a="1"/>
  <c r="I43" i="1" s="1"/>
  <c r="J43" i="1" a="1"/>
  <c r="J43" i="1" s="1"/>
  <c r="K43" i="1" a="1"/>
  <c r="K43" i="1" s="1"/>
  <c r="L43" i="1" a="1"/>
  <c r="L43" i="1" s="1"/>
  <c r="M43" i="1" a="1"/>
  <c r="M43" i="1" s="1"/>
  <c r="N43" i="1" a="1"/>
  <c r="N43" i="1" s="1"/>
  <c r="O43" i="1" a="1"/>
  <c r="O43" i="1"/>
  <c r="P43" i="1" a="1"/>
  <c r="P43" i="1" s="1"/>
  <c r="Q43" i="1" a="1"/>
  <c r="Q43" i="1" s="1"/>
  <c r="R43" i="1" a="1"/>
  <c r="R43" i="1" s="1"/>
  <c r="E43" i="1" a="1"/>
  <c r="E43" i="1" s="1"/>
  <c r="F24" i="1" a="1"/>
  <c r="F24" i="1" s="1"/>
  <c r="G24" i="1" a="1"/>
  <c r="G24" i="1" s="1"/>
  <c r="H24" i="1" a="1"/>
  <c r="H24" i="1" s="1"/>
  <c r="I24" i="1" a="1"/>
  <c r="I24" i="1" s="1"/>
  <c r="J24" i="1" a="1"/>
  <c r="J24" i="1" s="1"/>
  <c r="K24" i="1" a="1"/>
  <c r="K24" i="1" s="1"/>
  <c r="L24" i="1" a="1"/>
  <c r="L24" i="1" s="1"/>
  <c r="M24" i="1" a="1"/>
  <c r="M24" i="1" s="1"/>
  <c r="N24" i="1" a="1"/>
  <c r="N24" i="1" s="1"/>
  <c r="O24" i="1" a="1"/>
  <c r="O24" i="1" s="1"/>
  <c r="P24" i="1" a="1"/>
  <c r="P24" i="1" s="1"/>
  <c r="Q24" i="1" a="1"/>
  <c r="Q24" i="1" s="1"/>
  <c r="R24" i="1" a="1"/>
  <c r="R24" i="1" s="1"/>
  <c r="E24" i="1" a="1"/>
  <c r="E24" i="1" s="1"/>
  <c r="H14" i="1" a="1"/>
  <c r="H14" i="1" s="1"/>
  <c r="I14" i="1" a="1"/>
  <c r="I14" i="1"/>
  <c r="J14" i="1" a="1"/>
  <c r="J14" i="1"/>
  <c r="K14" i="1" a="1"/>
  <c r="K14" i="1" s="1"/>
  <c r="L14" i="1" a="1"/>
  <c r="L14" i="1"/>
  <c r="M14" i="1" a="1"/>
  <c r="M14" i="1" s="1"/>
  <c r="N14" i="1" a="1"/>
  <c r="N14" i="1" s="1"/>
  <c r="O14" i="1" a="1"/>
  <c r="O14" i="1" s="1"/>
  <c r="P14" i="1" a="1"/>
  <c r="P14" i="1" s="1"/>
  <c r="Q14" i="1" a="1"/>
  <c r="Q14" i="1" s="1"/>
  <c r="R14" i="1" a="1"/>
  <c r="R14" i="1" s="1"/>
  <c r="G14" i="1" a="1"/>
  <c r="G14" i="1" s="1"/>
  <c r="F14" i="1" a="1"/>
  <c r="F14" i="1" s="1"/>
  <c r="E14" i="1" a="1"/>
  <c r="E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<sst xmlns="http://schemas.openxmlformats.org/spreadsheetml/2006/main" count="473" uniqueCount="72">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</sst>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tabSelected="1" zoomScale="69" zoomScaleNormal="52" workbookViewId="0">
      <selection activeCell="V6" sqref="V6:V19"/>
    </sheetView>
  </sheetViews>
  <sheetFormatPr defaultColWidth="8.77734375" defaultRowHeight="14.4" x14ac:dyDescent="0.3"/>
  <cols>
    <col min="1" max="1" width="3.109375" customWidth="1"/>
    <col min="2" max="2" width="15.6640625" bestFit="1" customWidth="1"/>
    <col min="3" max="4" width="4.6640625" style="2" customWidth="1"/>
    <col min="5" max="18" width="3.44140625" style="2" bestFit="1" customWidth="1"/>
    <col min="19" max="19" width="3.33203125" customWidth="1"/>
  </cols>
  <sheetData>
    <row r="2" spans="2:23" ht="43.2" x14ac:dyDescent="0.3">
      <c r="D2" s="1"/>
      <c r="E2" s="3" t="s">
        <v>61</v>
      </c>
      <c r="F2" s="3" t="s">
        <v>58</v>
      </c>
      <c r="G2" s="3" t="s">
        <v>60</v>
      </c>
      <c r="H2" s="3" t="s">
        <v>63</v>
      </c>
      <c r="I2" s="3" t="s">
        <v>2</v>
      </c>
      <c r="J2" s="3" t="s">
        <v>3</v>
      </c>
      <c r="K2" s="3" t="s">
        <v>7</v>
      </c>
      <c r="L2" s="3" t="s">
        <v>8</v>
      </c>
      <c r="M2" s="3" t="s">
        <v>4</v>
      </c>
      <c r="N2" s="3" t="s">
        <v>9</v>
      </c>
      <c r="O2" s="3" t="s">
        <v>5</v>
      </c>
      <c r="P2" s="3" t="s">
        <v>57</v>
      </c>
      <c r="Q2" s="3" t="s">
        <v>6</v>
      </c>
      <c r="R2" s="3" t="s">
        <v>10</v>
      </c>
    </row>
    <row r="3" spans="2:23" ht="42" x14ac:dyDescent="0.3">
      <c r="C3" s="2" t="s">
        <v>0</v>
      </c>
      <c r="D3" s="1" t="s">
        <v>1</v>
      </c>
      <c r="E3" s="3" t="s">
        <v>17</v>
      </c>
      <c r="F3" s="3" t="s">
        <v>59</v>
      </c>
      <c r="G3" s="3" t="s">
        <v>11</v>
      </c>
      <c r="H3" s="3" t="s">
        <v>16</v>
      </c>
      <c r="I3" s="3" t="s">
        <v>13</v>
      </c>
      <c r="J3" s="3" t="s">
        <v>12</v>
      </c>
      <c r="K3" s="3" t="s">
        <v>66</v>
      </c>
      <c r="L3" s="3" t="s">
        <v>64</v>
      </c>
      <c r="M3" s="3" t="s">
        <v>62</v>
      </c>
      <c r="N3" s="3" t="s">
        <v>19</v>
      </c>
      <c r="O3" s="3" t="s">
        <v>15</v>
      </c>
      <c r="P3" s="3" t="s">
        <v>14</v>
      </c>
      <c r="Q3" s="3" t="s">
        <v>65</v>
      </c>
      <c r="R3" s="3" t="s">
        <v>18</v>
      </c>
    </row>
    <row r="4" spans="2:23" ht="25.8" x14ac:dyDescent="0.5">
      <c r="B4" s="4" t="s">
        <v>20</v>
      </c>
      <c r="D4" s="1"/>
      <c r="T4" s="9" t="s">
        <v>67</v>
      </c>
      <c r="U4" s="9"/>
      <c r="V4" s="9"/>
      <c r="W4" s="9"/>
    </row>
    <row r="5" spans="2:23" x14ac:dyDescent="0.3">
      <c r="B5" t="s">
        <v>21</v>
      </c>
      <c r="C5" s="2">
        <v>4</v>
      </c>
      <c r="D5" s="1">
        <v>2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N5" s="2" t="s">
        <v>0</v>
      </c>
      <c r="O5" s="2" t="s">
        <v>0</v>
      </c>
      <c r="Q5" s="2" t="s">
        <v>1</v>
      </c>
      <c r="T5" s="8" t="s">
        <v>69</v>
      </c>
      <c r="U5" s="8" t="s">
        <v>68</v>
      </c>
      <c r="V5" s="8" t="s">
        <v>70</v>
      </c>
      <c r="W5" s="8" t="s">
        <v>71</v>
      </c>
    </row>
    <row r="6" spans="2:23" x14ac:dyDescent="0.3">
      <c r="B6" t="s">
        <v>22</v>
      </c>
      <c r="C6" s="2">
        <v>2</v>
      </c>
      <c r="D6" s="1">
        <v>1</v>
      </c>
      <c r="E6" s="2" t="s">
        <v>0</v>
      </c>
      <c r="G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N6" s="2" t="s">
        <v>0</v>
      </c>
      <c r="R6" s="2" t="s">
        <v>0</v>
      </c>
      <c r="T6" s="2" t="s">
        <v>9</v>
      </c>
      <c r="U6" s="2" t="s">
        <v>19</v>
      </c>
      <c r="V6">
        <v>94</v>
      </c>
      <c r="W6">
        <v>10</v>
      </c>
    </row>
    <row r="7" spans="2:23" x14ac:dyDescent="0.3">
      <c r="B7" t="s">
        <v>23</v>
      </c>
      <c r="C7" s="2">
        <v>2</v>
      </c>
      <c r="D7" s="1">
        <v>1</v>
      </c>
      <c r="E7" s="2" t="s">
        <v>0</v>
      </c>
      <c r="G7" s="2" t="s">
        <v>1</v>
      </c>
      <c r="I7" s="2" t="s">
        <v>0</v>
      </c>
      <c r="J7" s="2" t="s">
        <v>1</v>
      </c>
      <c r="K7" s="2" t="s">
        <v>0</v>
      </c>
      <c r="L7" s="2" t="s">
        <v>0</v>
      </c>
      <c r="N7" s="2" t="s">
        <v>0</v>
      </c>
      <c r="O7" s="2" t="s">
        <v>0</v>
      </c>
      <c r="R7" s="2" t="s">
        <v>0</v>
      </c>
      <c r="T7" s="2" t="s">
        <v>7</v>
      </c>
      <c r="U7" s="2" t="s">
        <v>66</v>
      </c>
      <c r="V7">
        <v>92</v>
      </c>
      <c r="W7">
        <v>10</v>
      </c>
    </row>
    <row r="8" spans="2:23" x14ac:dyDescent="0.3">
      <c r="B8" t="s">
        <v>24</v>
      </c>
      <c r="C8" s="2">
        <v>3</v>
      </c>
      <c r="D8" s="1">
        <v>1</v>
      </c>
      <c r="E8" s="2" t="s">
        <v>0</v>
      </c>
      <c r="G8" s="2" t="s">
        <v>0</v>
      </c>
      <c r="I8" s="2" t="s">
        <v>0</v>
      </c>
      <c r="K8" s="2" t="s">
        <v>0</v>
      </c>
      <c r="L8" s="2" t="s">
        <v>0</v>
      </c>
      <c r="N8" s="2" t="s">
        <v>0</v>
      </c>
      <c r="R8" s="2" t="s">
        <v>0</v>
      </c>
      <c r="T8" s="2" t="s">
        <v>2</v>
      </c>
      <c r="U8" s="2" t="s">
        <v>13</v>
      </c>
      <c r="V8">
        <v>87</v>
      </c>
      <c r="W8">
        <v>9</v>
      </c>
    </row>
    <row r="9" spans="2:23" x14ac:dyDescent="0.3">
      <c r="B9" t="s">
        <v>25</v>
      </c>
      <c r="C9" s="2">
        <v>2</v>
      </c>
      <c r="D9" s="1">
        <v>1</v>
      </c>
      <c r="E9" s="2" t="s">
        <v>1</v>
      </c>
      <c r="G9" s="2" t="s">
        <v>0</v>
      </c>
      <c r="I9" s="2" t="s">
        <v>0</v>
      </c>
      <c r="J9" s="2" t="s">
        <v>1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1</v>
      </c>
      <c r="Q9" s="2" t="s">
        <v>0</v>
      </c>
      <c r="R9" s="2" t="s">
        <v>1</v>
      </c>
      <c r="T9" s="2" t="s">
        <v>61</v>
      </c>
      <c r="U9" s="2" t="s">
        <v>17</v>
      </c>
      <c r="V9">
        <v>84</v>
      </c>
      <c r="W9">
        <v>9</v>
      </c>
    </row>
    <row r="10" spans="2:23" x14ac:dyDescent="0.3">
      <c r="B10" t="s">
        <v>26</v>
      </c>
      <c r="C10" s="2">
        <v>2</v>
      </c>
      <c r="D10" s="1">
        <v>1</v>
      </c>
      <c r="E10" s="2" t="s">
        <v>1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1</v>
      </c>
      <c r="Q10" s="2" t="s">
        <v>0</v>
      </c>
      <c r="R10" s="2" t="s">
        <v>0</v>
      </c>
      <c r="T10" s="2" t="s">
        <v>10</v>
      </c>
      <c r="U10" s="2" t="s">
        <v>18</v>
      </c>
      <c r="V10">
        <v>83</v>
      </c>
      <c r="W10">
        <v>9</v>
      </c>
    </row>
    <row r="11" spans="2:23" x14ac:dyDescent="0.3">
      <c r="B11" t="s">
        <v>27</v>
      </c>
      <c r="C11" s="2">
        <v>6</v>
      </c>
      <c r="D11" s="1">
        <v>3</v>
      </c>
      <c r="E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N11" s="2" t="s">
        <v>0</v>
      </c>
      <c r="O11" s="2" t="s">
        <v>1</v>
      </c>
      <c r="R11" s="2" t="s">
        <v>1</v>
      </c>
      <c r="T11" s="2" t="s">
        <v>3</v>
      </c>
      <c r="U11" s="2" t="s">
        <v>12</v>
      </c>
      <c r="V11">
        <v>78</v>
      </c>
      <c r="W11">
        <v>8</v>
      </c>
    </row>
    <row r="12" spans="2:23" x14ac:dyDescent="0.3">
      <c r="B12" t="s">
        <v>28</v>
      </c>
      <c r="C12" s="2">
        <v>3</v>
      </c>
      <c r="D12" s="1">
        <v>2</v>
      </c>
      <c r="E12" s="2" t="s">
        <v>1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1</v>
      </c>
      <c r="N12" s="2" t="s">
        <v>0</v>
      </c>
      <c r="Q12" s="2" t="s">
        <v>1</v>
      </c>
      <c r="R12" s="2" t="s">
        <v>0</v>
      </c>
      <c r="T12" s="2" t="s">
        <v>60</v>
      </c>
      <c r="U12" s="2" t="s">
        <v>11</v>
      </c>
      <c r="V12">
        <v>70</v>
      </c>
      <c r="W12">
        <v>7</v>
      </c>
    </row>
    <row r="13" spans="2:23" x14ac:dyDescent="0.3">
      <c r="B13" t="s">
        <v>29</v>
      </c>
      <c r="C13" s="2">
        <v>4</v>
      </c>
      <c r="D13" s="1">
        <v>2</v>
      </c>
      <c r="E13" s="2" t="s">
        <v>0</v>
      </c>
      <c r="I13" s="2" t="s">
        <v>1</v>
      </c>
      <c r="J13" s="2" t="s">
        <v>1</v>
      </c>
      <c r="K13" s="2" t="s">
        <v>1</v>
      </c>
      <c r="L13" s="2" t="s">
        <v>1</v>
      </c>
      <c r="N13" s="2" t="s">
        <v>0</v>
      </c>
      <c r="Q13" s="2" t="s">
        <v>1</v>
      </c>
      <c r="R13" s="2" t="s">
        <v>0</v>
      </c>
      <c r="T13" s="2" t="s">
        <v>8</v>
      </c>
      <c r="U13" s="2" t="s">
        <v>64</v>
      </c>
      <c r="V13">
        <v>69</v>
      </c>
      <c r="W13">
        <v>7</v>
      </c>
    </row>
    <row r="14" spans="2:23" x14ac:dyDescent="0.3">
      <c r="C14" s="6"/>
      <c r="D14" s="7"/>
      <c r="E14" s="6" cm="1">
        <f t="array" ref="E14">SUMPRODUCT((E5:E13="+")*$C5:$C13) + SUMPRODUCT((E5:E13="o")*$D5:$D13)</f>
        <v>18</v>
      </c>
      <c r="F14" s="6" cm="1">
        <f t="array" ref="F14">SUMPRODUCT((F5:F13="+")*$C5:$C13) + SUMPRODUCT((F5:F13="o")*$D5:$D13)</f>
        <v>0</v>
      </c>
      <c r="G14" s="6" cm="1">
        <f t="array" ref="G14">SUMPRODUCT((G5:G13="+")*$C5:$C13) + SUMPRODUCT((G5:G13="o")*$D5:$D13)</f>
        <v>12</v>
      </c>
      <c r="H14" s="6" cm="1">
        <f t="array" ref="H14">SUMPRODUCT((H5:H13="+")*$C5:$C13) + SUMPRODUCT((H5:H13="o")*$D5:$D13)</f>
        <v>4</v>
      </c>
      <c r="I14" s="6" cm="1">
        <f t="array" ref="I14">SUMPRODUCT((I5:I13="+")*$C5:$C13) + SUMPRODUCT((I5:I13="o")*$D5:$D13)</f>
        <v>23</v>
      </c>
      <c r="J14" s="6" cm="1">
        <f t="array" ref="J14">SUMPRODUCT((J5:J13="+")*$C5:$C13) + SUMPRODUCT((J5:J13="o")*$D5:$D13)</f>
        <v>18</v>
      </c>
      <c r="K14" s="6" cm="1">
        <f t="array" ref="K14">SUMPRODUCT((K5:K13="+")*$C5:$C13) + SUMPRODUCT((K5:K13="o")*$D5:$D13)</f>
        <v>23</v>
      </c>
      <c r="L14" s="6" cm="1">
        <f t="array" ref="L14">SUMPRODUCT((L5:L13="+")*$C5:$C13) + SUMPRODUCT((L5:L13="o")*$D5:$D13)</f>
        <v>23</v>
      </c>
      <c r="M14" s="6" cm="1">
        <f t="array" ref="M14">SUMPRODUCT((M5:M13="+")*$C5:$C13) + SUMPRODUCT((M5:M13="o")*$D5:$D13)</f>
        <v>6</v>
      </c>
      <c r="N14" s="6" cm="1">
        <f t="array" ref="N14">SUMPRODUCT((N5:N13="+")*$C5:$C13) + SUMPRODUCT((N5:N13="o")*$D5:$D13)</f>
        <v>28</v>
      </c>
      <c r="O14" s="6" cm="1">
        <f t="array" ref="O14">SUMPRODUCT((O5:O13="+")*$C5:$C13) + SUMPRODUCT((O5:O13="o")*$D5:$D13)</f>
        <v>11</v>
      </c>
      <c r="P14" s="6" cm="1">
        <f t="array" ref="P14">SUMPRODUCT((P5:P13="+")*$C5:$C13) + SUMPRODUCT((P5:P13="o")*$D5:$D13)</f>
        <v>0</v>
      </c>
      <c r="Q14" s="6" cm="1">
        <f t="array" ref="Q14">SUMPRODUCT((Q5:Q13="+")*$C5:$C13) + SUMPRODUCT((Q5:Q13="o")*$D5:$D13)</f>
        <v>10</v>
      </c>
      <c r="R14" s="6" cm="1">
        <f t="array" ref="R14">SUMPRODUCT((R5:R13="+")*$C5:$C13) + SUMPRODUCT((R5:R13="o")*$D5:$D13)</f>
        <v>20</v>
      </c>
      <c r="T14" s="2" t="s">
        <v>63</v>
      </c>
      <c r="U14" s="2" t="s">
        <v>16</v>
      </c>
      <c r="V14">
        <v>61</v>
      </c>
      <c r="W14">
        <v>7</v>
      </c>
    </row>
    <row r="15" spans="2:23" x14ac:dyDescent="0.3">
      <c r="B15" s="4" t="s">
        <v>30</v>
      </c>
      <c r="D15" s="1"/>
      <c r="T15" s="2" t="s">
        <v>58</v>
      </c>
      <c r="U15" s="2" t="s">
        <v>59</v>
      </c>
      <c r="V15">
        <v>55</v>
      </c>
      <c r="W15">
        <v>6</v>
      </c>
    </row>
    <row r="16" spans="2:23" x14ac:dyDescent="0.3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</v>
      </c>
      <c r="N16" s="2" t="s">
        <v>0</v>
      </c>
      <c r="P16" s="2" t="s">
        <v>0</v>
      </c>
      <c r="Q16" s="2" t="s">
        <v>0</v>
      </c>
      <c r="R16" s="2" t="s">
        <v>0</v>
      </c>
      <c r="T16" s="2" t="s">
        <v>4</v>
      </c>
      <c r="U16" s="2" t="s">
        <v>62</v>
      </c>
      <c r="V16">
        <v>54</v>
      </c>
      <c r="W16">
        <v>6</v>
      </c>
    </row>
    <row r="17" spans="2:23" x14ac:dyDescent="0.3">
      <c r="B17" t="s">
        <v>32</v>
      </c>
      <c r="C17" s="2">
        <v>3</v>
      </c>
      <c r="D17" s="1">
        <v>2</v>
      </c>
      <c r="E17" s="2" t="s">
        <v>1</v>
      </c>
      <c r="F17" s="2" t="s">
        <v>0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1</v>
      </c>
      <c r="N17" s="2" t="s">
        <v>0</v>
      </c>
      <c r="P17" s="2" t="s">
        <v>0</v>
      </c>
      <c r="Q17" s="2" t="s">
        <v>0</v>
      </c>
      <c r="R17" s="2" t="s">
        <v>0</v>
      </c>
      <c r="T17" s="2" t="s">
        <v>57</v>
      </c>
      <c r="U17" s="2" t="s">
        <v>14</v>
      </c>
      <c r="V17">
        <v>54</v>
      </c>
      <c r="W17">
        <v>6</v>
      </c>
    </row>
    <row r="18" spans="2:23" x14ac:dyDescent="0.3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Q18" s="2" t="s">
        <v>1</v>
      </c>
      <c r="R18" s="2" t="s">
        <v>0</v>
      </c>
      <c r="T18" s="2" t="s">
        <v>6</v>
      </c>
      <c r="U18" s="2" t="s">
        <v>65</v>
      </c>
      <c r="V18">
        <v>42</v>
      </c>
      <c r="W18">
        <v>55</v>
      </c>
    </row>
    <row r="19" spans="2:23" x14ac:dyDescent="0.3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1</v>
      </c>
      <c r="R19" s="2" t="s">
        <v>0</v>
      </c>
      <c r="T19" s="2" t="s">
        <v>5</v>
      </c>
      <c r="U19" s="2" t="s">
        <v>15</v>
      </c>
      <c r="V19">
        <v>38</v>
      </c>
      <c r="W19">
        <v>4</v>
      </c>
    </row>
    <row r="20" spans="2:23" x14ac:dyDescent="0.3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0</v>
      </c>
      <c r="M20" s="2" t="s">
        <v>0</v>
      </c>
      <c r="N20" s="2" t="s">
        <v>0</v>
      </c>
      <c r="O20" s="2" t="s">
        <v>1</v>
      </c>
      <c r="P20" s="2" t="s">
        <v>0</v>
      </c>
      <c r="Q20" s="2" t="s">
        <v>0</v>
      </c>
      <c r="R20" s="2" t="s">
        <v>0</v>
      </c>
    </row>
    <row r="21" spans="2:23" x14ac:dyDescent="0.3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1</v>
      </c>
      <c r="R21" s="2" t="s">
        <v>0</v>
      </c>
    </row>
    <row r="22" spans="2:23" x14ac:dyDescent="0.3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N22" s="2" t="s">
        <v>0</v>
      </c>
      <c r="P22" s="2" t="s">
        <v>0</v>
      </c>
      <c r="Q22" s="2" t="s">
        <v>0</v>
      </c>
      <c r="R22" s="2" t="s">
        <v>0</v>
      </c>
    </row>
    <row r="23" spans="2:23" x14ac:dyDescent="0.3">
      <c r="B23" t="s">
        <v>37</v>
      </c>
      <c r="C23" s="2">
        <v>4</v>
      </c>
      <c r="D23" s="1">
        <v>2</v>
      </c>
      <c r="E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1</v>
      </c>
      <c r="Q23" s="2" t="s">
        <v>0</v>
      </c>
      <c r="R23" s="2" t="s">
        <v>0</v>
      </c>
    </row>
    <row r="24" spans="2:23" x14ac:dyDescent="0.3">
      <c r="C24" s="6"/>
      <c r="D24" s="7"/>
      <c r="E24" s="6" cm="1">
        <f t="array" ref="E24">SUMPRODUCT((E15:E23="+")*$C15:$C23) + SUMPRODUCT((E15:E23="o")*$D15:$D23)</f>
        <v>25</v>
      </c>
      <c r="F24" s="6" cm="1">
        <f t="array" ref="F24">SUMPRODUCT((F15:F23="+")*$C15:$C23) + SUMPRODUCT((F15:F23="o")*$D15:$D23)</f>
        <v>24</v>
      </c>
      <c r="G24" s="6" cm="1">
        <f t="array" ref="G24">SUMPRODUCT((G15:G23="+")*$C15:$C23) + SUMPRODUCT((G15:G23="o")*$D15:$D23)</f>
        <v>27</v>
      </c>
      <c r="H24" s="6" cm="1">
        <f t="array" ref="H24">SUMPRODUCT((H15:H23="+")*$C15:$C23) + SUMPRODUCT((H15:H23="o")*$D15:$D23)</f>
        <v>23</v>
      </c>
      <c r="I24" s="6" cm="1">
        <f t="array" ref="I24">SUMPRODUCT((I15:I23="+")*$C15:$C23) + SUMPRODUCT((I15:I23="o")*$D15:$D23)</f>
        <v>28</v>
      </c>
      <c r="J24" s="6" cm="1">
        <f t="array" ref="J24">SUMPRODUCT((J15:J23="+")*$C15:$C23) + SUMPRODUCT((J15:J23="o")*$D15:$D23)</f>
        <v>24</v>
      </c>
      <c r="K24" s="6" cm="1">
        <f t="array" ref="K24">SUMPRODUCT((K15:K23="+")*$C15:$C23) + SUMPRODUCT((K15:K23="o")*$D15:$D23)</f>
        <v>28</v>
      </c>
      <c r="L24" s="6" cm="1">
        <f t="array" ref="L24">SUMPRODUCT((L15:L23="+")*$C15:$C23) + SUMPRODUCT((L15:L23="o")*$D15:$D23)</f>
        <v>24</v>
      </c>
      <c r="M24" s="6" cm="1">
        <f t="array" ref="M24">SUMPRODUCT((M15:M23="+")*$C15:$C23) + SUMPRODUCT((M15:M23="o")*$D15:$D23)</f>
        <v>19</v>
      </c>
      <c r="N24" s="6" cm="1">
        <f t="array" ref="N24">SUMPRODUCT((N15:N23="+")*$C15:$C23) + SUMPRODUCT((N15:N23="o")*$D15:$D23)</f>
        <v>28</v>
      </c>
      <c r="O24" s="6" cm="1">
        <f t="array" ref="O24">SUMPRODUCT((O15:O23="+")*$C15:$C23) + SUMPRODUCT((O15:O23="o")*$D15:$D23)</f>
        <v>9</v>
      </c>
      <c r="P24" s="6" cm="1">
        <f t="array" ref="P24">SUMPRODUCT((P15:P23="+")*$C15:$C23) + SUMPRODUCT((P15:P23="o")*$D15:$D23)</f>
        <v>19</v>
      </c>
      <c r="Q24" s="6" cm="1">
        <f t="array" ref="Q24">SUMPRODUCT((Q15:Q23="+")*$C15:$C23) + SUMPRODUCT((Q15:Q23="o")*$D15:$D23)</f>
        <v>20</v>
      </c>
      <c r="R24" s="6" cm="1">
        <f t="array" ref="R24">SUMPRODUCT((R15:R23="+")*$C15:$C23) + SUMPRODUCT((R15:R23="o")*$D15:$D23)</f>
        <v>28</v>
      </c>
    </row>
    <row r="25" spans="2:23" x14ac:dyDescent="0.3">
      <c r="B25" s="4" t="s">
        <v>38</v>
      </c>
      <c r="D25" s="1"/>
    </row>
    <row r="26" spans="2:23" x14ac:dyDescent="0.3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1</v>
      </c>
      <c r="R26" s="2" t="s">
        <v>0</v>
      </c>
    </row>
    <row r="27" spans="2:23" x14ac:dyDescent="0.3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0</v>
      </c>
      <c r="Q27" s="2" t="s">
        <v>1</v>
      </c>
      <c r="R27" s="2" t="s">
        <v>0</v>
      </c>
    </row>
    <row r="28" spans="2:23" x14ac:dyDescent="0.3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1</v>
      </c>
      <c r="P28" s="2" t="s">
        <v>0</v>
      </c>
      <c r="Q28" s="2" t="s">
        <v>0</v>
      </c>
      <c r="R28" s="2" t="s">
        <v>0</v>
      </c>
    </row>
    <row r="29" spans="2:23" x14ac:dyDescent="0.3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1</v>
      </c>
      <c r="P29" s="2" t="s">
        <v>0</v>
      </c>
      <c r="R29" s="2" t="s">
        <v>0</v>
      </c>
    </row>
    <row r="30" spans="2:23" x14ac:dyDescent="0.3">
      <c r="B30" t="s">
        <v>43</v>
      </c>
      <c r="C30" s="2">
        <v>2</v>
      </c>
      <c r="D30" s="1">
        <v>1</v>
      </c>
      <c r="E30" s="2" t="s">
        <v>0</v>
      </c>
      <c r="F30" s="2" t="s">
        <v>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P30" s="2" t="s">
        <v>0</v>
      </c>
      <c r="Q30" s="2" t="s">
        <v>1</v>
      </c>
      <c r="R30" s="2" t="s">
        <v>0</v>
      </c>
    </row>
    <row r="31" spans="2:23" x14ac:dyDescent="0.3">
      <c r="B31" t="s">
        <v>44</v>
      </c>
      <c r="C31" s="2">
        <v>2</v>
      </c>
      <c r="D31" s="1">
        <v>1</v>
      </c>
      <c r="E31" s="2" t="s">
        <v>0</v>
      </c>
      <c r="H31" s="2" t="s">
        <v>0</v>
      </c>
      <c r="L31" s="2" t="s">
        <v>0</v>
      </c>
      <c r="M31" s="2" t="s">
        <v>0</v>
      </c>
    </row>
    <row r="32" spans="2:23" x14ac:dyDescent="0.3">
      <c r="B32" t="s">
        <v>45</v>
      </c>
      <c r="C32" s="2">
        <v>2</v>
      </c>
      <c r="D32" s="1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M32" s="2" t="s">
        <v>0</v>
      </c>
      <c r="N32" s="2" t="s">
        <v>0</v>
      </c>
      <c r="P32" s="2" t="s">
        <v>0</v>
      </c>
      <c r="Q32" s="2" t="s">
        <v>0</v>
      </c>
    </row>
    <row r="33" spans="2:18" x14ac:dyDescent="0.3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1</v>
      </c>
      <c r="L33" s="2" t="s">
        <v>1</v>
      </c>
      <c r="N33" s="2" t="s">
        <v>0</v>
      </c>
      <c r="P33" s="2" t="s">
        <v>0</v>
      </c>
      <c r="R33" s="2" t="s">
        <v>0</v>
      </c>
    </row>
    <row r="34" spans="2:18" x14ac:dyDescent="0.3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1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P34" s="2" t="s">
        <v>0</v>
      </c>
      <c r="Q34" s="2" t="s">
        <v>0</v>
      </c>
      <c r="R34" s="2" t="s">
        <v>0</v>
      </c>
    </row>
    <row r="35" spans="2:18" x14ac:dyDescent="0.3">
      <c r="B35" t="s">
        <v>48</v>
      </c>
      <c r="C35" s="2">
        <v>3</v>
      </c>
      <c r="D35" s="1">
        <v>1</v>
      </c>
      <c r="E35" s="2" t="s">
        <v>0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0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0</v>
      </c>
      <c r="P35" s="2" t="s">
        <v>0</v>
      </c>
      <c r="R35" s="2" t="s">
        <v>1</v>
      </c>
    </row>
    <row r="36" spans="2:18" x14ac:dyDescent="0.3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N36" s="2" t="s">
        <v>0</v>
      </c>
      <c r="P36" s="2" t="s">
        <v>0</v>
      </c>
      <c r="R36" s="2" t="s">
        <v>0</v>
      </c>
    </row>
    <row r="37" spans="2:18" x14ac:dyDescent="0.3">
      <c r="B37" t="s">
        <v>50</v>
      </c>
      <c r="C37" s="2">
        <v>2</v>
      </c>
      <c r="D37" s="1">
        <v>1</v>
      </c>
      <c r="E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N37" s="2" t="s">
        <v>0</v>
      </c>
      <c r="P37" s="2" t="s">
        <v>0</v>
      </c>
      <c r="R37" s="2" t="s">
        <v>0</v>
      </c>
    </row>
    <row r="38" spans="2:18" x14ac:dyDescent="0.3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N38" s="2" t="s">
        <v>0</v>
      </c>
      <c r="O38" s="2" t="s">
        <v>0</v>
      </c>
      <c r="P38" s="2" t="s">
        <v>0</v>
      </c>
      <c r="R38" s="2" t="s">
        <v>0</v>
      </c>
    </row>
    <row r="39" spans="2:18" x14ac:dyDescent="0.3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1</v>
      </c>
      <c r="M39" s="2" t="s">
        <v>1</v>
      </c>
      <c r="N39" s="2" t="s">
        <v>0</v>
      </c>
      <c r="P39" s="2" t="s">
        <v>0</v>
      </c>
      <c r="Q39" s="2" t="s">
        <v>1</v>
      </c>
      <c r="R39" s="2" t="s">
        <v>0</v>
      </c>
    </row>
    <row r="40" spans="2:18" x14ac:dyDescent="0.3">
      <c r="B40" t="s">
        <v>53</v>
      </c>
      <c r="C40" s="2">
        <v>2</v>
      </c>
      <c r="D40" s="1">
        <v>1</v>
      </c>
      <c r="E40" s="2" t="s">
        <v>1</v>
      </c>
      <c r="F40" s="2" t="s">
        <v>1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M40" s="2" t="s">
        <v>0</v>
      </c>
      <c r="N40" s="2" t="s">
        <v>0</v>
      </c>
      <c r="O40" s="2" t="s">
        <v>0</v>
      </c>
      <c r="P40" s="2" t="s">
        <v>0</v>
      </c>
      <c r="Q40" s="2" t="s">
        <v>1</v>
      </c>
      <c r="R40" s="2" t="s">
        <v>1</v>
      </c>
    </row>
    <row r="41" spans="2:18" x14ac:dyDescent="0.3">
      <c r="B41" t="s">
        <v>54</v>
      </c>
      <c r="C41" s="2">
        <v>5</v>
      </c>
      <c r="D41" s="1">
        <v>3</v>
      </c>
      <c r="E41" s="2" t="s">
        <v>0</v>
      </c>
      <c r="I41" s="2" t="s">
        <v>1</v>
      </c>
      <c r="J41" s="2" t="s">
        <v>1</v>
      </c>
      <c r="K41" s="2" t="s">
        <v>0</v>
      </c>
      <c r="M41" s="2" t="s">
        <v>1</v>
      </c>
      <c r="N41" s="2" t="s">
        <v>0</v>
      </c>
      <c r="O41" s="2" t="s">
        <v>1</v>
      </c>
      <c r="R41" s="2" t="s">
        <v>0</v>
      </c>
    </row>
    <row r="42" spans="2:18" x14ac:dyDescent="0.3">
      <c r="B42" t="s">
        <v>55</v>
      </c>
      <c r="C42" s="2">
        <v>4</v>
      </c>
      <c r="D42" s="1">
        <v>2</v>
      </c>
      <c r="E42" s="2" t="s">
        <v>0</v>
      </c>
      <c r="F42" s="2" t="s">
        <v>0</v>
      </c>
      <c r="G42" s="2" t="s">
        <v>1</v>
      </c>
      <c r="H42" s="2" t="s">
        <v>1</v>
      </c>
      <c r="J42" s="2" t="s">
        <v>1</v>
      </c>
      <c r="K42" s="2" t="s">
        <v>0</v>
      </c>
      <c r="L42" s="2" t="s">
        <v>1</v>
      </c>
      <c r="M42" s="2" t="s">
        <v>1</v>
      </c>
      <c r="N42" s="2" t="s">
        <v>1</v>
      </c>
      <c r="P42" s="2" t="s">
        <v>1</v>
      </c>
      <c r="R42" s="2" t="s">
        <v>1</v>
      </c>
    </row>
    <row r="43" spans="2:18" x14ac:dyDescent="0.3">
      <c r="C43" s="6"/>
      <c r="D43" s="7"/>
      <c r="E43" s="6" cm="1">
        <f t="array" ref="E43">SUMPRODUCT((E26:E42="+")*$C26:$C42) + SUMPRODUCT((E26:E42="o")*$D26:$D42)</f>
        <v>41</v>
      </c>
      <c r="F43" s="6" cm="1">
        <f t="array" ref="F43">SUMPRODUCT((F26:F42="+")*$C26:$C42) + SUMPRODUCT((F26:F42="o")*$D26:$D42)</f>
        <v>31</v>
      </c>
      <c r="G43" s="6" cm="1">
        <f t="array" ref="G43">SUMPRODUCT((G26:G42="+")*$C26:$C42) + SUMPRODUCT((G26:G42="o")*$D26:$D42)</f>
        <v>31</v>
      </c>
      <c r="H43" s="6" cm="1">
        <f t="array" ref="H43">SUMPRODUCT((H26:H42="+")*$C26:$C42) + SUMPRODUCT((H26:H42="o")*$D26:$D42)</f>
        <v>34</v>
      </c>
      <c r="I43" s="6" cm="1">
        <f t="array" ref="I43">SUMPRODUCT((I26:I42="+")*$C26:$C42) + SUMPRODUCT((I26:I42="o")*$D26:$D42)</f>
        <v>36</v>
      </c>
      <c r="J43" s="6" cm="1">
        <f t="array" ref="J43">SUMPRODUCT((J26:J42="+")*$C26:$C42) + SUMPRODUCT((J26:J42="o")*$D26:$D42)</f>
        <v>36</v>
      </c>
      <c r="K43" s="6" cm="1">
        <f t="array" ref="K43">SUMPRODUCT((K26:K42="+")*$C26:$C42) + SUMPRODUCT((K26:K42="o")*$D26:$D42)</f>
        <v>41</v>
      </c>
      <c r="L43" s="6" cm="1">
        <f t="array" ref="L43">SUMPRODUCT((L26:L42="+")*$C26:$C42) + SUMPRODUCT((L26:L42="o")*$D26:$D42)</f>
        <v>22</v>
      </c>
      <c r="M43" s="6" cm="1">
        <f t="array" ref="M43">SUMPRODUCT((M26:M42="+")*$C26:$C42) + SUMPRODUCT((M26:M42="o")*$D26:$D42)</f>
        <v>29</v>
      </c>
      <c r="N43" s="6" cm="1">
        <f t="array" ref="N43">SUMPRODUCT((N26:N42="+")*$C26:$C42) + SUMPRODUCT((N26:N42="o")*$D26:$D42)</f>
        <v>38</v>
      </c>
      <c r="O43" s="6" cm="1">
        <f t="array" ref="O43">SUMPRODUCT((O26:O42="+")*$C26:$C42) + SUMPRODUCT((O26:O42="o")*$D26:$D42)</f>
        <v>18</v>
      </c>
      <c r="P43" s="6" cm="1">
        <f t="array" ref="P43">SUMPRODUCT((P26:P42="+")*$C26:$C42) + SUMPRODUCT((P26:P42="o")*$D26:$D42)</f>
        <v>35</v>
      </c>
      <c r="Q43" s="6" cm="1">
        <f t="array" ref="Q43">SUMPRODUCT((Q26:Q42="+")*$C26:$C42) + SUMPRODUCT((Q26:Q42="o")*$D26:$D42)</f>
        <v>12</v>
      </c>
      <c r="R43" s="6" cm="1">
        <f t="array" ref="R43">SUMPRODUCT((R26:R42="+")*$C26:$C42) + SUMPRODUCT((R26:R42="o")*$D26:$D42)</f>
        <v>35</v>
      </c>
    </row>
    <row r="45" spans="2:18" x14ac:dyDescent="0.3">
      <c r="B45" s="4" t="s">
        <v>56</v>
      </c>
      <c r="C45" s="5">
        <f>SUM(C5:C42)</f>
        <v>100</v>
      </c>
      <c r="D45" s="5">
        <f>SUM(D5:D42)</f>
        <v>50</v>
      </c>
      <c r="E45" s="5">
        <f>SUM(E14+E24+E43)</f>
        <v>84</v>
      </c>
      <c r="F45" s="5">
        <f t="shared" ref="F45:R45" si="0">SUM(F14+F24+F43)</f>
        <v>55</v>
      </c>
      <c r="G45" s="5">
        <f t="shared" si="0"/>
        <v>70</v>
      </c>
      <c r="H45" s="5">
        <f t="shared" si="0"/>
        <v>61</v>
      </c>
      <c r="I45" s="5">
        <f t="shared" si="0"/>
        <v>87</v>
      </c>
      <c r="J45" s="5">
        <f t="shared" si="0"/>
        <v>78</v>
      </c>
      <c r="K45" s="5">
        <f t="shared" si="0"/>
        <v>92</v>
      </c>
      <c r="L45" s="5">
        <f t="shared" si="0"/>
        <v>69</v>
      </c>
      <c r="M45" s="5">
        <f t="shared" si="0"/>
        <v>54</v>
      </c>
      <c r="N45" s="5">
        <f t="shared" si="0"/>
        <v>94</v>
      </c>
      <c r="O45" s="5">
        <f t="shared" si="0"/>
        <v>38</v>
      </c>
      <c r="P45" s="5">
        <f t="shared" si="0"/>
        <v>54</v>
      </c>
      <c r="Q45" s="5">
        <f t="shared" si="0"/>
        <v>42</v>
      </c>
      <c r="R45" s="5">
        <f t="shared" si="0"/>
        <v>83</v>
      </c>
    </row>
  </sheetData>
  <sortState xmlns:xlrd2="http://schemas.microsoft.com/office/spreadsheetml/2017/richdata2" ref="T6:W19">
    <sortCondition descending="1" ref="V6:V19"/>
  </sortState>
  <mergeCells count="1">
    <mergeCell ref="T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Točkovanje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Andraž Matoš</cp:lastModifiedBy>
  <dcterms:created xsi:type="dcterms:W3CDTF">2007-11-10T05:13:13Z</dcterms:created>
  <dcterms:modified xsi:type="dcterms:W3CDTF">2025-12-07T20:26:22Z</dcterms:modified>
</cp:coreProperties>
</file>